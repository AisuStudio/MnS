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38290824-953B-084D-B872-310BE4056E35}" xr6:coauthVersionLast="47" xr6:coauthVersionMax="47" xr10:uidLastSave="{00000000-0000-0000-0000-000000000000}"/>
  <bookViews>
    <workbookView xWindow="0" yWindow="580" windowWidth="25600" windowHeight="16060" tabRatio="500" xr2:uid="{00000000-000D-0000-FFFF-FFFF00000000}"/>
  </bookViews>
  <sheets>
    <sheet name="Start" sheetId="1" r:id="rId1"/>
    <sheet name="Bauvertrag (VOB)" sheetId="2" r:id="rId2"/>
    <sheet name="Planervertrag (VgV-HOAI)" sheetId="3" r:id="rId3"/>
    <sheet name="Gesamtbewertung" sheetId="4" r:id="rId4"/>
    <sheet name="Quellennachweis" sheetId="5" r:id="rId5"/>
  </sheets>
  <definedNames>
    <definedName name="Bausumme">Start!$C$6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4" l="1"/>
  <c r="N19" i="3"/>
  <c r="E7" i="4" s="1"/>
  <c r="K19" i="3"/>
  <c r="D7" i="4" s="1"/>
  <c r="H19" i="3"/>
  <c r="C7" i="4" s="1"/>
  <c r="X17" i="3"/>
  <c r="X19" i="3" s="1"/>
  <c r="T17" i="3"/>
  <c r="T19" i="3" s="1"/>
  <c r="G7" i="4" s="1"/>
  <c r="Q17" i="3"/>
  <c r="Q19" i="3" s="1"/>
  <c r="F7" i="4" s="1"/>
  <c r="N17" i="3"/>
  <c r="K17" i="3"/>
  <c r="H17" i="3"/>
  <c r="X16" i="3"/>
  <c r="T16" i="3"/>
  <c r="Q16" i="3"/>
  <c r="N16" i="3"/>
  <c r="K16" i="3"/>
  <c r="H16" i="3"/>
  <c r="X15" i="3"/>
  <c r="T15" i="3"/>
  <c r="Q15" i="3"/>
  <c r="N15" i="3"/>
  <c r="K15" i="3"/>
  <c r="H15" i="3"/>
  <c r="X14" i="3"/>
  <c r="T14" i="3"/>
  <c r="Q14" i="3"/>
  <c r="N14" i="3"/>
  <c r="K14" i="3"/>
  <c r="H14" i="3"/>
  <c r="X13" i="3"/>
  <c r="T13" i="3"/>
  <c r="Q13" i="3"/>
  <c r="N13" i="3"/>
  <c r="K13" i="3"/>
  <c r="H13" i="3"/>
  <c r="X12" i="3"/>
  <c r="T12" i="3"/>
  <c r="Q12" i="3"/>
  <c r="N12" i="3"/>
  <c r="K12" i="3"/>
  <c r="H12" i="3"/>
  <c r="X11" i="3"/>
  <c r="T11" i="3"/>
  <c r="Q11" i="3"/>
  <c r="N11" i="3"/>
  <c r="K11" i="3"/>
  <c r="H11" i="3"/>
  <c r="X10" i="3"/>
  <c r="T10" i="3"/>
  <c r="Q10" i="3"/>
  <c r="N10" i="3"/>
  <c r="K10" i="3"/>
  <c r="H10" i="3"/>
  <c r="X9" i="3"/>
  <c r="T9" i="3"/>
  <c r="Q9" i="3"/>
  <c r="N9" i="3"/>
  <c r="K9" i="3"/>
  <c r="H9" i="3"/>
  <c r="X8" i="3"/>
  <c r="T8" i="3"/>
  <c r="Q8" i="3"/>
  <c r="N8" i="3"/>
  <c r="K8" i="3"/>
  <c r="H8" i="3"/>
  <c r="X7" i="3"/>
  <c r="T7" i="3"/>
  <c r="Q7" i="3"/>
  <c r="N7" i="3"/>
  <c r="K7" i="3"/>
  <c r="H7" i="3"/>
  <c r="X22" i="2"/>
  <c r="X20" i="2"/>
  <c r="T20" i="2"/>
  <c r="T22" i="2" s="1"/>
  <c r="G6" i="4" s="1"/>
  <c r="G8" i="4" s="1"/>
  <c r="Q20" i="2"/>
  <c r="Q22" i="2" s="1"/>
  <c r="F6" i="4" s="1"/>
  <c r="F8" i="4" s="1"/>
  <c r="N20" i="2"/>
  <c r="N22" i="2" s="1"/>
  <c r="E6" i="4" s="1"/>
  <c r="E8" i="4" s="1"/>
  <c r="K20" i="2"/>
  <c r="K22" i="2" s="1"/>
  <c r="D6" i="4" s="1"/>
  <c r="H20" i="2"/>
  <c r="H22" i="2" s="1"/>
  <c r="C6" i="4" s="1"/>
  <c r="X19" i="2"/>
  <c r="T19" i="2"/>
  <c r="Q19" i="2"/>
  <c r="N19" i="2"/>
  <c r="K19" i="2"/>
  <c r="H19" i="2"/>
  <c r="X18" i="2"/>
  <c r="T18" i="2"/>
  <c r="Q18" i="2"/>
  <c r="N18" i="2"/>
  <c r="K18" i="2"/>
  <c r="H18" i="2"/>
  <c r="X17" i="2"/>
  <c r="T17" i="2"/>
  <c r="Q17" i="2"/>
  <c r="N17" i="2"/>
  <c r="K17" i="2"/>
  <c r="H17" i="2"/>
  <c r="X16" i="2"/>
  <c r="T16" i="2"/>
  <c r="Q16" i="2"/>
  <c r="N16" i="2"/>
  <c r="K16" i="2"/>
  <c r="H16" i="2"/>
  <c r="X15" i="2"/>
  <c r="T15" i="2"/>
  <c r="Q15" i="2"/>
  <c r="N15" i="2"/>
  <c r="K15" i="2"/>
  <c r="H15" i="2"/>
  <c r="X14" i="2"/>
  <c r="T14" i="2"/>
  <c r="Q14" i="2"/>
  <c r="N14" i="2"/>
  <c r="K14" i="2"/>
  <c r="H14" i="2"/>
  <c r="X13" i="2"/>
  <c r="T13" i="2"/>
  <c r="Q13" i="2"/>
  <c r="N13" i="2"/>
  <c r="K13" i="2"/>
  <c r="H13" i="2"/>
  <c r="X12" i="2"/>
  <c r="T12" i="2"/>
  <c r="Q12" i="2"/>
  <c r="N12" i="2"/>
  <c r="K12" i="2"/>
  <c r="H12" i="2"/>
  <c r="X11" i="2"/>
  <c r="T11" i="2"/>
  <c r="Q11" i="2"/>
  <c r="N11" i="2"/>
  <c r="K11" i="2"/>
  <c r="H11" i="2"/>
  <c r="X10" i="2"/>
  <c r="T10" i="2"/>
  <c r="Q10" i="2"/>
  <c r="N10" i="2"/>
  <c r="K10" i="2"/>
  <c r="H10" i="2"/>
  <c r="X9" i="2"/>
  <c r="T9" i="2"/>
  <c r="Q9" i="2"/>
  <c r="N9" i="2"/>
  <c r="K9" i="2"/>
  <c r="H9" i="2"/>
  <c r="X8" i="2"/>
  <c r="T8" i="2"/>
  <c r="Q8" i="2"/>
  <c r="N8" i="2"/>
  <c r="K8" i="2"/>
  <c r="H8" i="2"/>
  <c r="X7" i="2"/>
  <c r="T7" i="2"/>
  <c r="Q7" i="2"/>
  <c r="N7" i="2"/>
  <c r="K7" i="2"/>
  <c r="H7" i="2"/>
  <c r="Y19" i="3" l="1"/>
  <c r="J7" i="4" s="1"/>
  <c r="I7" i="4"/>
  <c r="I6" i="4"/>
  <c r="I8" i="4" s="1"/>
  <c r="Y22" i="2"/>
  <c r="J6" i="4" s="1"/>
  <c r="E10" i="4"/>
  <c r="G10" i="4" s="1"/>
  <c r="D8" i="4"/>
  <c r="H6" i="4"/>
  <c r="H8" i="4" s="1"/>
  <c r="C8" i="4"/>
  <c r="H7" i="4"/>
  <c r="J8" i="4" l="1"/>
  <c r="J10" i="4"/>
</calcChain>
</file>

<file path=xl/sharedStrings.xml><?xml version="1.0" encoding="utf-8"?>
<sst xmlns="http://schemas.openxmlformats.org/spreadsheetml/2006/main" count="376" uniqueCount="279">
  <si>
    <t>Lean Construction — Vertragsbewertungs-Tool</t>
  </si>
  <si>
    <t>Bewertung vertraglicher Maßnahmen nach Verbesserungspotenzial &amp; Implementierungskosten</t>
  </si>
  <si>
    <t>🏗  PROJEKTEINGABE — Bausumme (KG 200-700 netto, in €)</t>
  </si>
  <si>
    <t>Bausumme (netto, €):</t>
  </si>
  <si>
    <t>← hier eingeben</t>
  </si>
  <si>
    <t>⚠  Hinweis: Implementierungskosten sind Schätzwerte aus Praxisberichten (kein RCT-Nachweis). Transparenzhinweis im Blatt 'Quellennachweis'.</t>
  </si>
  <si>
    <t>📋  Arbeitsblätter</t>
  </si>
  <si>
    <t>1 · Bauvertrag (VOB) — Lean-Maßnahmen mit Potenzial &amp; Implementierungskosten</t>
  </si>
  <si>
    <t>2 · Planervertrag (VgV-HOAI) — Lean-Maßnahmen mit Potenzial &amp; Implementierungskosten</t>
  </si>
  <si>
    <t>3 · Gesamtbewertung — Zusammenfassung + Diagramm</t>
  </si>
  <si>
    <t>4 · Quellennachweis — Empirische Grundlage &amp; Transparenzhinweise</t>
  </si>
  <si>
    <t>🔧  Bedienhinweise</t>
  </si>
  <si>
    <t>→  Bausumme oben eingeben (Zelle C6) — alle €-Werte berechnen sich automatisch</t>
  </si>
  <si>
    <t>→  In den Bewertungsblättern: Maßnahmen per Dropdown aktivieren (Ja / Teilweise / Nein)</t>
  </si>
  <si>
    <t>→  Blaue Felder = Eingaben (Bausumme, Aktivierung, Gewichtung, Von/Bis-Werte anpassbar)</t>
  </si>
  <si>
    <t>→  Schwarze Felder = Berechnungen (automatisch, nicht überschreiben)</t>
  </si>
  <si>
    <t>→  Implementierungskosten (€) = % der Bausumme × eingegebene Bausumme</t>
  </si>
  <si>
    <t>→  Gesamtbewertung-Blatt zeigt Zusammenfassung + Balkendiagramm</t>
  </si>
  <si>
    <t>🟢  Ja  =  Maßnahme vollständig umgesetzt → volles Potenzial &amp; volle Impl.-Kosten</t>
  </si>
  <si>
    <t>🟡  Teilweise  =  Maßnahme in Ansätzen vorhanden → 50% Potenzial &amp; 60% Impl.-Kosten</t>
  </si>
  <si>
    <t>🔴  Nein  =  Maßnahme nicht vorhanden → kein Potenzial, keine Kosten</t>
  </si>
  <si>
    <t>Quellen: LCI/IPDA (Cheng &amp; Johnson 2016) · El Asmar et al. (2013) · KIT Gehbauer (2009) · IPA-Zentrum Deutschland (2022) · GLCI/VDI 2553 · LUTZ|ABEL/LC-Akademie 2020</t>
  </si>
  <si>
    <t>Bewertungstool: Lean-Maßnahmen im Bauvertrag (VOB)</t>
  </si>
  <si>
    <t>Verbesserungspotenziale &amp; Implementierungskosten — Bausumme auf Blatt 'Start' eingeben  ▶  Blau = Eingaben anpassbar  |  Teal = Impl.-Kosten</t>
  </si>
  <si>
    <t>Kategorie / Maßnahme</t>
  </si>
  <si>
    <t>Aktivierung</t>
  </si>
  <si>
    <t>Termintreue (%)</t>
  </si>
  <si>
    <t>Kostentreue (%)</t>
  </si>
  <si>
    <t>Nachtragsred. (%)</t>
  </si>
  <si>
    <t>Planungsqualität (%)</t>
  </si>
  <si>
    <t>Konfliktred. (%)</t>
  </si>
  <si>
    <t>Gew.</t>
  </si>
  <si>
    <t>Implementierungskosten (Schätzwert — Praxisberichte)</t>
  </si>
  <si>
    <t>Quellennachweis</t>
  </si>
  <si>
    <t>Kategorie</t>
  </si>
  <si>
    <t>Maßnahme</t>
  </si>
  <si>
    <t>Erläuterung</t>
  </si>
  <si>
    <t>Ja/Teilw./Nein</t>
  </si>
  <si>
    <t>Von %</t>
  </si>
  <si>
    <t>Bis %</t>
  </si>
  <si>
    <t>Akt.</t>
  </si>
  <si>
    <t>0-1</t>
  </si>
  <si>
    <t>Einmalig
% Bausumme</t>
  </si>
  <si>
    <t>Laufend
% Bausumme</t>
  </si>
  <si>
    <t>Gesamt € absolut
(bei akt. Bausumme)</t>
  </si>
  <si>
    <t>Einordnung</t>
  </si>
  <si>
    <t>Studie / Quelle</t>
  </si>
  <si>
    <t>1 · Planungsmethodik</t>
  </si>
  <si>
    <t>Last Planner System (LPS)</t>
  </si>
  <si>
    <t>Verpflichtende LPS-Anwendung vertraglich verankert (Pull Planning, Weekly Work Plan, PPC-Messung)</t>
  </si>
  <si>
    <t>Ja</t>
  </si>
  <si>
    <t>niedrig
(Schulung + Moderation)</t>
  </si>
  <si>
    <t>Fernández-Solís et al. 2015 (TAMU); LCI/IPDA Cheng &amp; Johnson 2016</t>
  </si>
  <si>
    <t>Taktplanung / Takt-Steuerung</t>
  </si>
  <si>
    <t>Ablaufplanung nach Taktprinzip (gleiche Taktzeiten je Abschnitt) vertraglich als Planungspflicht</t>
  </si>
  <si>
    <t>Teilweise</t>
  </si>
  <si>
    <t>niedrig
(Workshop + Steuerung)</t>
  </si>
  <si>
    <t>KIT Gehbauer 2009; Dlouhy et al. IGLC 2016</t>
  </si>
  <si>
    <t>Big Room / Co-Location</t>
  </si>
  <si>
    <t>Verpflichtende Nutzung eines gemeinsamen Projektraums für alle Schlüsselgewerke</t>
  </si>
  <si>
    <t>mittel
(Raumkosten + Präsenz)</t>
  </si>
  <si>
    <t>LCI/IPDA Cheng &amp; Johnson 2016; IPA-Zentrum Deutschland 2022</t>
  </si>
  <si>
    <t>2 · Vergütung &amp; Anreize</t>
  </si>
  <si>
    <t>Bonus/Malus-Klausel (Termin)</t>
  </si>
  <si>
    <t>Vergütungsanreiz bei Unterschreitung Bauzeit / Malus bei Überschreitung, vertraglich festgelegt</t>
  </si>
  <si>
    <t>gering
(Vertragsgestaltung)</t>
  </si>
  <si>
    <t>RiskConsult 2022 (A-Nord IPA); PwC IPA-Report 2022</t>
  </si>
  <si>
    <t>Bonus/Malus-Klausel (Kosten/Qualität)</t>
  </si>
  <si>
    <t>Anreizstruktur für Kosteneinsparung und Qualitätsziele (PPC-Zielwert, Mängelquote)</t>
  </si>
  <si>
    <t>Nein</t>
  </si>
  <si>
    <t>gering
(KPI-Monitoring)</t>
  </si>
  <si>
    <t>El Asmar, Hanna &amp; Loh 2013 (JCEM); IPA-Zentrum Deutschland 2022</t>
  </si>
  <si>
    <t>GMP-Vertrag (Guaranteed Maximum Price)</t>
  </si>
  <si>
    <t>Vereinbarung einer Kostenobergrenze mit Gain-Sharing bei Unterschreitung (privater AG)</t>
  </si>
  <si>
    <t>mittel
(Open-Book-Buchführung)</t>
  </si>
  <si>
    <t>Baumensch.de IPA-Analyse 2024; Lean Construction Blog (Darrington 2011)</t>
  </si>
  <si>
    <t>3 · Frühe Integration</t>
  </si>
  <si>
    <t>Early Contractor Involvement (ECI)</t>
  </si>
  <si>
    <t>Einbindung des AN bereits in LP 3/4 (Entwurfs-/Genehmigungsplanung) zur konstruktiven Beratung</t>
  </si>
  <si>
    <t>mittel
(AN-Honorar Planungsphase)</t>
  </si>
  <si>
    <t>RiskConsult IPA 2022; Kapellmann IPA-Leitfaden 2023</t>
  </si>
  <si>
    <t>Target Value Design (TVD) vertraglich</t>
  </si>
  <si>
    <t>Zielkosten werden gemeinsam mit AN und Planer entwickelt; Planungsteam ist finanziell am Zielwert beteiligt</t>
  </si>
  <si>
    <t>mittel
(Zielkostenworkshops)</t>
  </si>
  <si>
    <t>Ballard 2009 (LCI); El Asmar et al. 2013; Cheng &amp; Johnson 2016</t>
  </si>
  <si>
    <t>4 · Lean-Vertragszusätze</t>
  </si>
  <si>
    <t>ALCA/LC-BVB (VDI 2553 konform)</t>
  </si>
  <si>
    <t>Auftraggeber-Lean-Construction-Anforderungen + Besondere Vertragsbedingungen nach VDI 2553 als Vertragsanlage</t>
  </si>
  <si>
    <t>niedrig
(Vertragsdokument + LPS)</t>
  </si>
  <si>
    <t>LUTZ|ABEL / Lean Const. Akademie Deutschland 2020; VDI 2553; GLCI</t>
  </si>
  <si>
    <t>PPC-Messung als Vertragspflicht</t>
  </si>
  <si>
    <t>Percent Plan Complete (PPC) wird wöchentlich gemessen und dokumentiert; Mindest-PPC vertraglich (z.B. ≥75%)</t>
  </si>
  <si>
    <t>gering
(Dokumentationsaufwand)</t>
  </si>
  <si>
    <t>LCI Last Planner System Handbook; Viana et al. IGLC 2010</t>
  </si>
  <si>
    <t>5 · Kollaboration &amp; Streit</t>
  </si>
  <si>
    <t>Interne Konfliktlösung (stufenweise Eskalation)</t>
  </si>
  <si>
    <t>Vertraglich definierte Eskalationsstufen (Projektebene → GF → Mediation) vor Klageweg</t>
  </si>
  <si>
    <t>gering
(Vertragsklausel)</t>
  </si>
  <si>
    <t>IPA-Zentrum Charakteristikum 7 (2024); Kapellmann IPA 2023</t>
  </si>
  <si>
    <t>No-Blame-Kultur / Partnering-Vereinbarung</t>
  </si>
  <si>
    <t>Projektallianz-Charta oder Partnering-Vereinbarung als Vertragsbestandteil (Best-for-Project)</t>
  </si>
  <si>
    <t>gering
(Workshops + Coach)</t>
  </si>
  <si>
    <t>BG BAU Bauportal 2020 (Rodde); DAB 03.2023 (Mattern/Baureis)</t>
  </si>
  <si>
    <t>6 · BIM &amp; Digitalisierung</t>
  </si>
  <si>
    <t>BIM-Pflicht (AIA/BAP als Vertragsanlage)</t>
  </si>
  <si>
    <t>BIM-Abwicklungsplan (BAP) und Auftraggeber-Informations-Anforderungen (AIA) als verpflichtende Vertragsanlage</t>
  </si>
  <si>
    <t>mittel
(BIM-Koordination)</t>
  </si>
  <si>
    <t>LUTZ|ABEL 2020 (BIM+Lean); BBR BIM-Leitfaden; Springeropen 2025</t>
  </si>
  <si>
    <t>7 · IPA-Vollmodell</t>
  </si>
  <si>
    <t>IPA-Mehrparteienvertrag (vollständig)</t>
  </si>
  <si>
    <t>Vollständiger IPA-MPV mit allen 8 GLCI-Charakteristika: ECI, Open Book, Zielkosten, Pain/Gain, Big Room, LPS, Konfliktlösung, Haftungsausschluss</t>
  </si>
  <si>
    <t>hoch
(Vollsystem IPA)
Netto-Effekt positiv
(El Asmar 2013)</t>
  </si>
  <si>
    <t>IPA-Leitfaden 2020 (GLCI); El Asmar 2013: 'no significant cost premium'; DAB 03.2023</t>
  </si>
  <si>
    <t>⬛  GESAMTPOTENZIAL (gewichteter Ø aller aktiven Maßnahmen)</t>
  </si>
  <si>
    <t>Gesamt-Implementierungskosten (aktive Maßnahmen):</t>
  </si>
  <si>
    <t>→ Gewichteter Ø der aktivierten Maßnahmen | Impl.-Kosten: Summe aktiver Maßnahmen</t>
  </si>
  <si>
    <t>Bewertungstool: Lean-Maßnahmen im Planervertrag (VgV / HOAI)</t>
  </si>
  <si>
    <t>1 · Leistungsbild</t>
  </si>
  <si>
    <t>Zielorientierte Leistungsvereinbarung (statt HOAI-Phasenbindung)</t>
  </si>
  <si>
    <t>Leistungsinhalt wird ergebnis- und zielorientiert definiert; HOAI dient nur noch als Honorarorientierung (§ 650p BGB)</t>
  </si>
  <si>
    <t>gering
(Vertragsgestaltung §650p)</t>
  </si>
  <si>
    <t>§ 650p BGB (2018); DAB 03.2023 (Mattern/Baureis)</t>
  </si>
  <si>
    <t>Stufenvertrag mit ECI-Option</t>
  </si>
  <si>
    <t>Planervertrag mit definierten Abrufoptionen je Phase; ECI durch frühzeitigen AN-Abruf in LP 2/3 möglich</t>
  </si>
  <si>
    <t>gering
(Stufenvertrag VgV)</t>
  </si>
  <si>
    <t>VgV § 14 Abs. 4; Kapellmann IPA; BAK Praxisleitfaden 2021</t>
  </si>
  <si>
    <t>Lean als Besondere Leistung (ALCA-Anlage)</t>
  </si>
  <si>
    <t>LPS, Pull Planning, TVD-Mitwirkung als Besondere Leistung nach HOAI §3 Abs. 3 vertraglich vereinbart und honoriert</t>
  </si>
  <si>
    <t>niedrig
(ALCA + BL-Honorar)</t>
  </si>
  <si>
    <t>LUTZ|ABEL/Lean Const. Akademie 2020 (ALCA/LC-BVB); VDI 2553</t>
  </si>
  <si>
    <t>2 · Honorar &amp; Anreize</t>
  </si>
  <si>
    <t>Erfolgsbeteiligung bei Kostenunterschreitung</t>
  </si>
  <si>
    <t>Planer erhält prozentualen Anteil an Kosteneinsparung gegenüber vereinbartem Zielkostenwert (§ 650p BGB)</t>
  </si>
  <si>
    <t>gering
(Erfolgsbonus-Regelung)</t>
  </si>
  <si>
    <t>§ 650p BGB; Ballard TVD 2009</t>
  </si>
  <si>
    <t>IPA-Vergütung (Selbstkosten + Overhead + Bonus/Malus)</t>
  </si>
  <si>
    <t>Honorar als Kostenerstattung (Aufwand) + definierter Overhead-Zuschlag; HOAI-Tabellenwerte entfallen; CRP-Beteiligung</t>
  </si>
  <si>
    <t>hoch
(Open-Book-System)
Netto-Effekt positiv</t>
  </si>
  <si>
    <t>DAB 05.2023 (Mattern/Baureis Kapellmann); IPA-Zentrum 2022</t>
  </si>
  <si>
    <t>3 · Koordination</t>
  </si>
  <si>
    <t>BIM-Koordinationspflicht (AIA/BAP) vertraglich</t>
  </si>
  <si>
    <t>Planer ist vertraglich verpflichtet, BIM-Modell zu führen, Kollisionsprüfungen durchzuführen und zu protokollieren</t>
  </si>
  <si>
    <t>mittel
(BIM-Management)</t>
  </si>
  <si>
    <t>LUTZ|ABEL 2020; Springeropen Systematic Review 2025; BBR BIM-Leitfaden</t>
  </si>
  <si>
    <t>Interdisziplinäre Pull-Planning-Teilnahme (Planer)</t>
  </si>
  <si>
    <t>Vertraglich verpflichtende Teilnahme aller Fachplaner an Pull-Planning-Workshops (mind. monatlich)</t>
  </si>
  <si>
    <t>niedrig
(Workshop-Präsenz)</t>
  </si>
  <si>
    <t>LCI LPS for Design; LUTZ|ABEL ALCA 2020</t>
  </si>
  <si>
    <t>Big Room-Pflicht für Planungsgewerke</t>
  </si>
  <si>
    <t>Alle Schlüsselplaner (Objektplanung, TGA, Tragwerk) arbeiten regelmäßig im gemeinsamen Projektraum</t>
  </si>
  <si>
    <t>IPA-Zentrum 2022; DAB 03.2023; Baumensch IPA 2024</t>
  </si>
  <si>
    <t>4 · Vergaberecht (VgV)</t>
  </si>
  <si>
    <t>Lean-Kompetenz als Zuschlagskriterium (VgV)</t>
  </si>
  <si>
    <t>LPS-Erfahrung, TVD-Methodik, IPA-Referenzen als qualitative Zuschlagskriterien im VgV-Verfahren</t>
  </si>
  <si>
    <t>gering
(Vergabe-Vorbereitung)</t>
  </si>
  <si>
    <t>BAK Praxisleitfaden 2021; VgV §127 GWB</t>
  </si>
  <si>
    <t>Gemeinsame Planervergabe (Losbildungsfreiheit nutzen)</t>
  </si>
  <si>
    <t>Objekt- und Fachplanungslose gemeinsam vergeben (Generalplaner oder ARGE) um Schnittstellenkoordination zu verbessern</t>
  </si>
  <si>
    <t>gering
(Vergabeverfahren)</t>
  </si>
  <si>
    <t>BAK Rechtsgutachten 2023; § 97 Abs. 4 GWB</t>
  </si>
  <si>
    <t>5 · IPA-Vollmodell (Planer)</t>
  </si>
  <si>
    <t>IPA-Mehrparteienvertrag inkl. Planer</t>
  </si>
  <si>
    <t>Planer als vollwertiger Allianzpartner im MPV; Honorar nach Aufwand + CRP-Beteiligung; HOAI entfällt; Haftungsausschluss</t>
  </si>
  <si>
    <t>Cheng &amp; Johnson 2016 (LCI/IPDA); El Asmar 2013; DAB 2023; IPA-Zentrum 2022</t>
  </si>
  <si>
    <t>Gesamtbewertung — Lean-Potenziale &amp; Implementierungskosten im Überblick</t>
  </si>
  <si>
    <t>Aktuelle Bausumme (aus Blatt 'Start'):</t>
  </si>
  <si>
    <t>← Bausumme auf Blatt 'Start' (Zelle C6) ändern</t>
  </si>
  <si>
    <t>Vertragsebene</t>
  </si>
  <si>
    <t>Termintreue</t>
  </si>
  <si>
    <t>Kostentreue</t>
  </si>
  <si>
    <t>Nachtragsred.</t>
  </si>
  <si>
    <t>Planungsqualität</t>
  </si>
  <si>
    <t>Konfliktred.</t>
  </si>
  <si>
    <t>Ø Gesamtpotenzial</t>
  </si>
  <si>
    <t>Impl.-Kosten (€)</t>
  </si>
  <si>
    <t>Impl.-Kosten (% BS)</t>
  </si>
  <si>
    <t>Bauvertrag (VOB)</t>
  </si>
  <si>
    <t>Planervertrag (VgV-HOAI)</t>
  </si>
  <si>
    <t>⬛  Gesamtprojekt (Bau + Planer)</t>
  </si>
  <si>
    <t>💡  Indikativer ROI-Überblick</t>
  </si>
  <si>
    <t>Ø Kostenpotenzial (% Bausumme):</t>
  </si>
  <si>
    <t>Kosteneinsparung (€):</t>
  </si>
  <si>
    <t>Impl.-Kosten (€):</t>
  </si>
  <si>
    <t>Interpretationshilfe: Einordnung der Gesamtpotenzialwerte</t>
  </si>
  <si>
    <t>&lt; 5 %</t>
  </si>
  <si>
    <t>Kaum Lean-Maßnahmen aktiv — Standard-VOB/HOAI-Niveau</t>
  </si>
  <si>
    <t>5–15 %</t>
  </si>
  <si>
    <t>Einzelne Lean-Tools eingeführt (z.B. nur LPS oder BIM) — Lean-light</t>
  </si>
  <si>
    <t>15–30 %</t>
  </si>
  <si>
    <t>Mehrere Lean-Maßnahmen kombiniert — moderater Lean-Standard</t>
  </si>
  <si>
    <t>30–50 %</t>
  </si>
  <si>
    <t>Umfassende Lean-Integration inkl. ALCA/LC-BVB — fortgeschrittener Lean-Standard</t>
  </si>
  <si>
    <t>&gt; 50 %</t>
  </si>
  <si>
    <t>IPA-Vollmodell oder vergleichbar — maximales Lean-Potenzial realisiert</t>
  </si>
  <si>
    <t>Quellennachweis — Empirische Grundlage der Potenzial- und Implementierungskostenwerte</t>
  </si>
  <si>
    <t>⚠  TRANSPARENZHINWEIS IMPLEMENTIERUNGSKOSTEN: Die Prozentangaben für Implementierungskosten basieren auf Praxisberichten und Expertenschätzungen (LUTZ|ABEL, Kapellmann, IPA-Leitfaden 2020, IPA-Zentrum 2022), nicht auf kontrollierten Vergleichsstudien (RCT). El Asmar et al. 2013 belegt: IPD-Vollmodell erzeugt 'no significant cost premium' — Einsparungen überwiegen Implementierungskosten bei vollständiger Umsetzung. Einzelmaßnahmen (LPS, ALCA) wurden nicht isoliert quantifiziert. Werte als Orientierungsrahmen verwenden.</t>
  </si>
  <si>
    <t>Quelle / Studie</t>
  </si>
  <si>
    <t>Kernergebnis (Zusammenfassung)</t>
  </si>
  <si>
    <t>Dimension</t>
  </si>
  <si>
    <t>Potenzialspanne</t>
  </si>
  <si>
    <t>Cheng, R. &amp; Johnson, A. (2016): Motivation and Means — How and Why IPD and Lean Lead to Success. LCI/IPDA.</t>
  </si>
  <si>
    <t>IPD+Lean-Projekte sind ~5× wahrscheinlicher on-time. Kosten i.d.R. unter Zielwert.</t>
  </si>
  <si>
    <t>Termin, Kosten</t>
  </si>
  <si>
    <t>Termin: +40–60%
Kosten: +15–30%</t>
  </si>
  <si>
    <t>El Asmar, M., Hanna, A.S. &amp; Loh, W.-Y. (2013): Quantifying Performance for IPD vs. DBB. JCEM Vol.139 No.11.</t>
  </si>
  <si>
    <t>IPD übertrifft DBB in 6 Performance-Dimensionen. WICHTIG: 'no significant cost premium' — Impl.-Kosten durch Einsparungen überkompensiert.</t>
  </si>
  <si>
    <t>Alle Dimensionen + Impl.-Kosten</t>
  </si>
  <si>
    <t>Gesamt: kein Netto-Aufpreis</t>
  </si>
  <si>
    <t>Fernández-Solís et al. (2015): LPS in Construction. Texas A&amp;M University.</t>
  </si>
  <si>
    <t>LPS allein reduziert Terminüberschreitung um 57,9%. Produktivität +86% in Einzelfall.</t>
  </si>
  <si>
    <t>Termin, Produktivität</t>
  </si>
  <si>
    <t>Termin: +15–30%</t>
  </si>
  <si>
    <t>IPA-Leitfaden für Führungskräfte (2020): Allison, Ashcraft et al. — dt. Übersetzung (GLCI/IPA-Zentrum).</t>
  </si>
  <si>
    <t>IPA erfordert höheren Führungs- und Buchführungsaufwand. Nicht für jedes Projekt geeignet. Kleinere Projekte: Aufwand evtl. nicht gerechtfertigt.</t>
  </si>
  <si>
    <t>Impl.-Kosten allgemein</t>
  </si>
  <si>
    <t>Qualitativ: 'höherer Aufwand'</t>
  </si>
  <si>
    <t>KIT Gehbauer, F. (2009): Lean Management im Bauwesen. Karlsruher Institut für Technologie.</t>
  </si>
  <si>
    <t>Taktplanung und LPS reduzieren Bauzeit um 10–25% in deutschen Projekten.</t>
  </si>
  <si>
    <t>Termin: +10–25%</t>
  </si>
  <si>
    <t>IPA-Zentrum Deutschland (2022): IPA Charakteristika und konstitutive Modellbestandteile.</t>
  </si>
  <si>
    <t>Gemeinsames Risikomanagement, Konfliktlösungsmechanismen und Open Book als Kernelemente. Big Room als Implementierungsmerkmal.</t>
  </si>
  <si>
    <t>Konflikt, Kosten, Impl.</t>
  </si>
  <si>
    <t>Konflikt: +30–60%</t>
  </si>
  <si>
    <t>LUTZ|ABEL / Lean Const. Akademie Deutschland (2020): ALCA/LC-BVB Vertragszusätze nach VDI 2553.</t>
  </si>
  <si>
    <t>ALCA-Dokument als separater Vertragsbestandteil. Praxiserfahrung: juristische Erstellung ~1.500–3.000 € einmalig; laufende LPS-Moderation ~0,15–0,35% Bausumme.</t>
  </si>
  <si>
    <t>Impl.-Kosten ALCA/LPS</t>
  </si>
  <si>
    <t>Einmalig: ~0,05–0,10%
Laufend: ~0,15–0,35%</t>
  </si>
  <si>
    <t>PwC Deutschland (2022): IPA — Integrierte Projektabwicklung (Whitepaper).</t>
  </si>
  <si>
    <t>IPA reduziert Terminüberschreitungen um 30–50%; Kostenüberschreitungen um 15–30%.</t>
  </si>
  <si>
    <t>Termin: +30–50%
Kosten: +15–30%</t>
  </si>
  <si>
    <t>Kapellmann (2023): DAB 03.2023 Mattern/Baureis: Was ist eine IPA mit Mehrparteienvertrag?</t>
  </si>
  <si>
    <t>IPA-Vergütung: Selbstkosten + Overhead; HOAI bei IPA nur eingeschränkt anwendbar. Validierungsphase als Mehraufwand.</t>
  </si>
  <si>
    <t>Impl.-Kosten IPA, Honorarstruktur</t>
  </si>
  <si>
    <t>Einmalig: ~0,25–0,60%
Laufend: ~0,50–1,20%</t>
  </si>
  <si>
    <t>BG BAU Bauportal (2020): Rodde, N.: Projektallianz, Lean und BIM.</t>
  </si>
  <si>
    <t>VOB-Verträge + Rahmenvereinbarung als Hybridlösung für AN in IPA. Partnering-Workshops: ~1–3 Tage einmalig je Partei.</t>
  </si>
  <si>
    <t>Kollaboration, Impl.-Kosten</t>
  </si>
  <si>
    <t>Impl.: gering (~0,02–0,06%)</t>
  </si>
  <si>
    <t>LeanIPD.com (2023): The cost structure of IPD projects.</t>
  </si>
  <si>
    <t>IPD-Contingency typischerweise ~4% der Selbstkosten. Open-Book-Buchführung erhöht Verwaltungsaufwand messbar.</t>
  </si>
  <si>
    <t>Impl.-Kosten IPD-Vollmodell</t>
  </si>
  <si>
    <t>Contingency: ~4%
Open Book: ~0,3–0,8%</t>
  </si>
  <si>
    <t>Springeropen (2025): Systematic Review on Lean Construction. Journal of Infrastructure Preservation.</t>
  </si>
  <si>
    <t>Lean mit TVD und BIM führt zu 15–40% Qualitätsverbesserung. BIM-Koordination: ~0,15–0,30% der Projektkosten.</t>
  </si>
  <si>
    <t>Qualität, Impl.-Kosten BIM</t>
  </si>
  <si>
    <t>BIM: ~0,15–0,30%</t>
  </si>
  <si>
    <t>Dlouhy, J. et al. (2016): Takt Planning and Takt Control in Construction. IGLC 24.</t>
  </si>
  <si>
    <t>Taktplanung/-steuerung reduziert Bauzeit und Ablaufvariabilität; ergänzt KIT Gehbauer 2009.</t>
  </si>
  <si>
    <t>Termin, Taktplanung</t>
  </si>
  <si>
    <t>RiskConsult (2022): Projekt A-Nord — IPA-Erfahrungsbericht.</t>
  </si>
  <si>
    <t>IPA-Praxisprojekt mit ECI und Bonus/Malus; Anreizwirkung auf Termin und Kosten.</t>
  </si>
  <si>
    <t>Termin, Kosten, Anreize</t>
  </si>
  <si>
    <t>Qualitativ (Praxisbericht)</t>
  </si>
  <si>
    <t>Baumensch.de (2024): IPA-Analyse — GMP &amp; Open Book.</t>
  </si>
  <si>
    <t>GMP-/Open-Book-Modelle in IPA; erhöhter Verwaltungs- und Buchführungsaufwand.</t>
  </si>
  <si>
    <t>Kosten, Impl.-Kosten</t>
  </si>
  <si>
    <t>Qualitativ</t>
  </si>
  <si>
    <t>Darrington, J. (2011): Using a Design-Build Contract for Lean IPD. Lean Construction Blog.</t>
  </si>
  <si>
    <t>Vertragsgestaltung für GMP und Gain-Sharing; Grundlage der Bonus/Malus-Klauseln.</t>
  </si>
  <si>
    <t>Vergütung, Anreize</t>
  </si>
  <si>
    <t>Ballard, G. (2009): Target Value Design. Lean Construction Institute.</t>
  </si>
  <si>
    <t>TVD entwickelt Zielkosten gemeinsam mit Planungsteam; senkt Kostenüberschreitungen.</t>
  </si>
  <si>
    <t>Kosten, Planungsqualität</t>
  </si>
  <si>
    <t>Kosten: +15–25%</t>
  </si>
  <si>
    <t>Lean Construction Institute: Last Planner System Handbook / LPS for Design.</t>
  </si>
  <si>
    <t>Implementierungsleitfaden LPS inkl. PPC-Messung; Schulungs- und Moderationsaufwand.</t>
  </si>
  <si>
    <t>Termin, Impl.-Kosten LPS</t>
  </si>
  <si>
    <t>Viana, D. et al. (2010): Performance Measurement of the Last Planner System. IGLC 18.</t>
  </si>
  <si>
    <t>PPC als wöchentliche Messgröße; Dokumentationsaufwand als laufende Impl.-Kosten.</t>
  </si>
  <si>
    <t>Termin, Impl.-Kosten PPC</t>
  </si>
  <si>
    <t>BAK Bundesarchitektenkammer (2021/2023): Praxisleitfaden Vergabe &amp; Rechtsgutachten.</t>
  </si>
  <si>
    <t>Lean-Kompetenz als Zuschlagskriterium und gemeinsame Planervergabe nach VgV/GWB zulässig.</t>
  </si>
  <si>
    <t>Vergaberecht, Kollaboration</t>
  </si>
  <si>
    <t>BBR: BIM-Leitfaden für Deutschland.</t>
  </si>
  <si>
    <t>AIA/BAP als verpflichtende Vertragsanlage; BIM-Koordinationsaufwand quantifiziert.</t>
  </si>
  <si>
    <t>Rechtsgrundlagen: § 650p BGB (2018); VgV § 14/§ 127; § 97 Abs. 4 GWB.</t>
  </si>
  <si>
    <t>Rechtsrahmen für zielorientierte Leistungsbilder, ECI-Stufenverträge, Zuschlagskriterien und Losbildung.</t>
  </si>
  <si>
    <t>Vertrags-/Vergaberecht</t>
  </si>
  <si>
    <t>n/a (Rechtsgrundlage)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</si>
</sst>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€&quot;"/>
    <numFmt numFmtId="165" formatCode="0.0%"/>
    <numFmt numFmtId="166" formatCode="#,##0&quot; €&quot;;\-#,##0&quot; €&quot;;\-"/>
  </numFmts>
  <fonts count="37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D6B6B"/>
      <name val="Arial"/>
      <family val="2"/>
    </font>
    <font>
      <b/>
      <sz val="13"/>
      <color rgb="FF0000FF"/>
      <name val="Arial"/>
      <family val="2"/>
    </font>
    <font>
      <i/>
      <sz val="9"/>
      <color rgb="FFC55A11"/>
      <name val="Arial"/>
      <family val="2"/>
    </font>
    <font>
      <i/>
      <sz val="8"/>
      <color rgb="FFC55A11"/>
      <name val="Arial"/>
      <family val="2"/>
    </font>
    <font>
      <sz val="9"/>
      <color rgb="FF000000"/>
      <name val="Arial"/>
      <family val="2"/>
    </font>
    <font>
      <sz val="9"/>
      <color rgb="FF375623"/>
      <name val="Arial"/>
      <family val="2"/>
    </font>
    <font>
      <sz val="9"/>
      <color rgb="FF7B5800"/>
      <name val="Arial"/>
      <family val="2"/>
    </font>
    <font>
      <sz val="9"/>
      <color rgb="FFC00000"/>
      <name val="Arial"/>
      <family val="2"/>
    </font>
    <font>
      <i/>
      <sz val="8"/>
      <color rgb="FF595959"/>
      <name val="Arial"/>
      <family val="2"/>
    </font>
    <font>
      <b/>
      <sz val="15"/>
      <color rgb="FFFFFFFF"/>
      <name val="Arial"/>
      <family val="2"/>
    </font>
    <font>
      <i/>
      <sz val="9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1F3864"/>
      <name val="Arial"/>
      <family val="2"/>
    </font>
    <font>
      <b/>
      <sz val="9"/>
      <color rgb="FF000000"/>
      <name val="Arial"/>
      <family val="2"/>
    </font>
    <font>
      <i/>
      <sz val="8"/>
      <color rgb="FF000000"/>
      <name val="Arial"/>
      <family val="2"/>
    </font>
    <font>
      <b/>
      <sz val="10"/>
      <color rgb="FF0000FF"/>
      <name val="Arial"/>
      <family val="2"/>
    </font>
    <font>
      <sz val="9"/>
      <color rgb="FF0000FF"/>
      <name val="Arial"/>
      <family val="2"/>
    </font>
    <font>
      <i/>
      <sz val="8"/>
      <color rgb="FF1D6B6B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  <font>
      <i/>
      <sz val="8"/>
      <color rgb="FFFFFFFF"/>
      <name val="Arial"/>
      <family val="2"/>
    </font>
    <font>
      <b/>
      <sz val="10"/>
      <color rgb="FF1D6B6B"/>
      <name val="Arial"/>
      <family val="2"/>
    </font>
    <font>
      <b/>
      <sz val="12"/>
      <color rgb="FF0000FF"/>
      <name val="Arial"/>
      <family val="2"/>
    </font>
    <font>
      <b/>
      <sz val="10"/>
      <color rgb="FF000000"/>
      <name val="Arial"/>
      <family val="2"/>
    </font>
    <font>
      <b/>
      <sz val="11"/>
      <name val="Arial"/>
      <family val="2"/>
    </font>
    <font>
      <b/>
      <sz val="13"/>
      <color rgb="FFFFFFFF"/>
      <name val="Arial"/>
      <family val="2"/>
    </font>
    <font>
      <b/>
      <sz val="11"/>
      <color rgb="FF375623"/>
      <name val="Arial"/>
      <family val="2"/>
    </font>
    <font>
      <b/>
      <sz val="11"/>
      <color rgb="FFC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color rgb="FF008000"/>
      <name val="Arial"/>
      <family val="2"/>
    </font>
    <font>
      <b/>
      <sz val="12"/>
      <color rgb="FF008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1D6B6B"/>
      </patternFill>
    </fill>
    <fill>
      <patternFill patternType="solid">
        <fgColor rgb="FF1D6B6B"/>
        <bgColor rgb="FF008080"/>
      </patternFill>
    </fill>
    <fill>
      <patternFill patternType="solid">
        <fgColor rgb="FFD6F0F0"/>
        <bgColor rgb="FFDEEAF1"/>
      </patternFill>
    </fill>
    <fill>
      <patternFill patternType="solid">
        <fgColor rgb="FFFFFFC0"/>
        <bgColor rgb="FFFFF2CC"/>
      </patternFill>
    </fill>
    <fill>
      <patternFill patternType="solid">
        <fgColor rgb="FFFFF3E0"/>
        <bgColor rgb="FFFFF0E0"/>
      </patternFill>
    </fill>
    <fill>
      <patternFill patternType="solid">
        <fgColor rgb="FFF0F4F8"/>
        <bgColor rgb="FFF5F9FF"/>
      </patternFill>
    </fill>
    <fill>
      <patternFill patternType="solid">
        <fgColor rgb="FFDEEAF1"/>
        <bgColor rgb="FFD6F0F0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0E0"/>
      </patternFill>
    </fill>
    <fill>
      <patternFill patternType="solid">
        <fgColor rgb="FFFFF0E0"/>
        <bgColor rgb="FFFFF3E0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FF3E0"/>
      </patternFill>
    </fill>
    <fill>
      <patternFill patternType="solid">
        <fgColor rgb="FFD9D9D9"/>
        <bgColor rgb="FFC8E6C9"/>
      </patternFill>
    </fill>
    <fill>
      <patternFill patternType="solid">
        <fgColor rgb="FF595959"/>
        <bgColor rgb="FF375623"/>
      </patternFill>
    </fill>
    <fill>
      <patternFill patternType="solid">
        <fgColor rgb="FFBDD7EE"/>
        <bgColor rgb="FFD9D9D9"/>
      </patternFill>
    </fill>
    <fill>
      <patternFill patternType="solid">
        <fgColor rgb="FFF5F9FF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CCCC"/>
        <bgColor rgb="FFFFE0B2"/>
      </patternFill>
    </fill>
    <fill>
      <patternFill patternType="solid">
        <fgColor rgb="FFFFE0B2"/>
        <bgColor rgb="FFFCE4D6"/>
      </patternFill>
    </fill>
    <fill>
      <patternFill patternType="solid">
        <fgColor rgb="FFC8E6C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F5F9FF"/>
        <bgColor indexed="64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3" fillId="2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 wrapText="1"/>
    </xf>
    <xf numFmtId="0" fontId="11" fillId="11" borderId="2" xfId="0" applyFont="1" applyFill="1" applyBorder="1" applyAlignment="1">
      <alignment horizontal="left" vertical="center"/>
    </xf>
    <xf numFmtId="0" fontId="10" fillId="14" borderId="2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18" fillId="18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/>
    </xf>
    <xf numFmtId="9" fontId="20" fillId="17" borderId="1" xfId="0" applyNumberFormat="1" applyFont="1" applyFill="1" applyBorder="1" applyAlignment="1">
      <alignment horizontal="center" vertical="center"/>
    </xf>
    <xf numFmtId="165" fontId="17" fillId="9" borderId="1" xfId="0" applyNumberFormat="1" applyFont="1" applyFill="1" applyBorder="1" applyAlignment="1">
      <alignment horizontal="center" vertical="center"/>
    </xf>
    <xf numFmtId="2" fontId="20" fillId="14" borderId="1" xfId="0" applyNumberFormat="1" applyFont="1" applyFill="1" applyBorder="1" applyAlignment="1">
      <alignment horizontal="center" vertical="center"/>
    </xf>
    <xf numFmtId="10" fontId="20" fillId="5" borderId="1" xfId="0" applyNumberFormat="1" applyFont="1" applyFill="1" applyBorder="1" applyAlignment="1">
      <alignment horizontal="center" vertical="center"/>
    </xf>
    <xf numFmtId="166" fontId="17" fillId="5" borderId="1" xfId="0" applyNumberFormat="1" applyFont="1" applyFill="1" applyBorder="1" applyAlignment="1">
      <alignment horizontal="right" vertical="center"/>
    </xf>
    <xf numFmtId="0" fontId="21" fillId="5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16" fillId="19" borderId="1" xfId="0" applyFont="1" applyFill="1" applyBorder="1" applyAlignment="1">
      <alignment horizontal="left" vertical="center" wrapText="1"/>
    </xf>
    <xf numFmtId="0" fontId="17" fillId="19" borderId="1" xfId="0" applyFont="1" applyFill="1" applyBorder="1" applyAlignment="1">
      <alignment horizontal="left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165" fontId="3" fillId="2" borderId="1" xfId="0" applyNumberFormat="1" applyFont="1" applyFill="1" applyBorder="1" applyAlignment="1">
      <alignment horizontal="center" vertical="center"/>
    </xf>
    <xf numFmtId="166" fontId="24" fillId="4" borderId="1" xfId="0" applyNumberFormat="1" applyFont="1" applyFill="1" applyBorder="1" applyAlignment="1">
      <alignment horizontal="right" vertical="center"/>
    </xf>
    <xf numFmtId="10" fontId="22" fillId="4" borderId="1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center"/>
    </xf>
    <xf numFmtId="0" fontId="22" fillId="16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left" vertical="center"/>
    </xf>
    <xf numFmtId="165" fontId="24" fillId="3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165" fontId="24" fillId="2" borderId="1" xfId="0" applyNumberFormat="1" applyFont="1" applyFill="1" applyBorder="1" applyAlignment="1">
      <alignment horizontal="center" vertical="center"/>
    </xf>
    <xf numFmtId="165" fontId="30" fillId="2" borderId="1" xfId="0" applyNumberFormat="1" applyFont="1" applyFill="1" applyBorder="1" applyAlignment="1">
      <alignment horizontal="center" vertical="center"/>
    </xf>
    <xf numFmtId="164" fontId="30" fillId="4" borderId="1" xfId="0" applyNumberFormat="1" applyFont="1" applyFill="1" applyBorder="1" applyAlignment="1">
      <alignment horizontal="right" vertical="center"/>
    </xf>
    <xf numFmtId="10" fontId="30" fillId="4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right" vertical="center"/>
    </xf>
    <xf numFmtId="165" fontId="29" fillId="11" borderId="1" xfId="0" applyNumberFormat="1" applyFont="1" applyFill="1" applyBorder="1" applyAlignment="1">
      <alignment horizontal="center" vertical="center"/>
    </xf>
    <xf numFmtId="164" fontId="32" fillId="11" borderId="1" xfId="0" applyNumberFormat="1" applyFont="1" applyFill="1" applyBorder="1" applyAlignment="1">
      <alignment horizontal="right" vertical="center"/>
    </xf>
    <xf numFmtId="0" fontId="33" fillId="20" borderId="1" xfId="0" applyFont="1" applyFill="1" applyBorder="1" applyAlignment="1">
      <alignment horizontal="center" vertical="center"/>
    </xf>
    <xf numFmtId="0" fontId="33" fillId="21" borderId="1" xfId="0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 vertical="center"/>
    </xf>
    <xf numFmtId="0" fontId="33" fillId="22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left" vertical="center"/>
    </xf>
    <xf numFmtId="0" fontId="23" fillId="4" borderId="2" xfId="0" applyFont="1" applyFill="1" applyBorder="1" applyAlignment="1">
      <alignment horizontal="right" vertical="center"/>
    </xf>
    <xf numFmtId="0" fontId="26" fillId="5" borderId="2" xfId="0" applyFont="1" applyFill="1" applyBorder="1" applyAlignment="1">
      <alignment horizontal="left" vertical="center"/>
    </xf>
    <xf numFmtId="164" fontId="27" fillId="6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left" vertical="center"/>
    </xf>
    <xf numFmtId="0" fontId="22" fillId="10" borderId="2" xfId="0" applyFont="1" applyFill="1" applyBorder="1" applyAlignment="1">
      <alignment horizontal="left" vertical="center"/>
    </xf>
    <xf numFmtId="164" fontId="31" fillId="13" borderId="2" xfId="0" applyNumberFormat="1" applyFont="1" applyFill="1" applyBorder="1" applyAlignment="1">
      <alignment horizontal="right" vertical="center"/>
    </xf>
    <xf numFmtId="0" fontId="22" fillId="3" borderId="2" xfId="0" applyFont="1" applyFill="1" applyBorder="1" applyAlignment="1">
      <alignment horizontal="center" vertical="center"/>
    </xf>
    <xf numFmtId="0" fontId="34" fillId="20" borderId="2" xfId="0" applyFont="1" applyFill="1" applyBorder="1" applyAlignment="1">
      <alignment horizontal="left" vertical="center"/>
    </xf>
    <xf numFmtId="0" fontId="34" fillId="21" borderId="2" xfId="0" applyFont="1" applyFill="1" applyBorder="1" applyAlignment="1">
      <alignment horizontal="left" vertical="center"/>
    </xf>
    <xf numFmtId="0" fontId="34" fillId="14" borderId="2" xfId="0" applyFont="1" applyFill="1" applyBorder="1" applyAlignment="1">
      <alignment horizontal="left" vertical="center"/>
    </xf>
    <xf numFmtId="0" fontId="34" fillId="22" borderId="2" xfId="0" applyFont="1" applyFill="1" applyBorder="1" applyAlignment="1">
      <alignment horizontal="left" vertical="center"/>
    </xf>
    <xf numFmtId="0" fontId="34" fillId="13" borderId="2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0" fontId="18" fillId="18" borderId="3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17" fillId="23" borderId="3" xfId="0" applyFont="1" applyFill="1" applyBorder="1" applyAlignment="1">
      <alignment horizontal="center" vertical="center" wrapText="1"/>
    </xf>
    <xf numFmtId="0" fontId="17" fillId="18" borderId="3" xfId="0" applyFont="1" applyFill="1" applyBorder="1" applyAlignment="1">
      <alignment horizontal="center" vertical="center" wrapText="1"/>
    </xf>
    <xf numFmtId="0" fontId="18" fillId="24" borderId="4" xfId="0" applyFont="1" applyFill="1" applyBorder="1" applyAlignment="1">
      <alignment horizontal="left"/>
    </xf>
    <xf numFmtId="0" fontId="18" fillId="24" borderId="6" xfId="0" applyFont="1" applyFill="1" applyBorder="1" applyAlignment="1">
      <alignment horizontal="left"/>
    </xf>
    <xf numFmtId="0" fontId="8" fillId="24" borderId="5" xfId="0" applyFont="1" applyFill="1" applyBorder="1" applyAlignment="1">
      <alignment horizontal="left"/>
    </xf>
    <xf numFmtId="0" fontId="8" fillId="23" borderId="5" xfId="0" applyFont="1" applyFill="1" applyBorder="1" applyAlignment="1">
      <alignment horizontal="left" vertical="center" wrapText="1"/>
    </xf>
    <xf numFmtId="0" fontId="8" fillId="24" borderId="2" xfId="0" applyFont="1" applyFill="1" applyBorder="1" applyAlignment="1">
      <alignment horizontal="left"/>
    </xf>
    <xf numFmtId="0" fontId="8" fillId="24" borderId="5" xfId="0" applyFont="1" applyFill="1" applyBorder="1" applyAlignment="1">
      <alignment horizontal="center"/>
    </xf>
    <xf numFmtId="0" fontId="8" fillId="23" borderId="5" xfId="0" applyFont="1" applyFill="1" applyBorder="1" applyAlignment="1">
      <alignment horizontal="center" vertical="center" wrapText="1"/>
    </xf>
    <xf numFmtId="0" fontId="8" fillId="24" borderId="2" xfId="0" applyFont="1" applyFill="1" applyBorder="1" applyAlignment="1">
      <alignment horizontal="center"/>
    </xf>
    <xf numFmtId="0" fontId="17" fillId="24" borderId="1" xfId="0" applyFont="1" applyFill="1" applyBorder="1" applyAlignment="1">
      <alignment horizontal="center"/>
    </xf>
    <xf numFmtId="0" fontId="18" fillId="23" borderId="4" xfId="0" applyFont="1" applyFill="1" applyBorder="1" applyAlignment="1">
      <alignment horizontal="left"/>
    </xf>
    <xf numFmtId="0" fontId="8" fillId="23" borderId="5" xfId="0" applyFont="1" applyFill="1" applyBorder="1" applyAlignment="1">
      <alignment horizontal="left"/>
    </xf>
    <xf numFmtId="0" fontId="8" fillId="23" borderId="5" xfId="0" applyFont="1" applyFill="1" applyBorder="1" applyAlignment="1">
      <alignment horizontal="center"/>
    </xf>
    <xf numFmtId="0" fontId="17" fillId="24" borderId="3" xfId="0" applyFont="1" applyFill="1" applyBorder="1" applyAlignment="1">
      <alignment horizontal="center"/>
    </xf>
    <xf numFmtId="0" fontId="17" fillId="23" borderId="3" xfId="0" applyFont="1" applyFill="1" applyBorder="1" applyAlignment="1">
      <alignment horizontal="center"/>
    </xf>
    <xf numFmtId="165" fontId="35" fillId="9" borderId="1" xfId="0" applyNumberFormat="1" applyFont="1" applyFill="1" applyBorder="1" applyAlignment="1">
      <alignment horizontal="center" vertical="center"/>
    </xf>
    <xf numFmtId="165" fontId="35" fillId="8" borderId="1" xfId="0" applyNumberFormat="1" applyFont="1" applyFill="1" applyBorder="1" applyAlignment="1">
      <alignment horizontal="center" vertical="center"/>
    </xf>
    <xf numFmtId="164" fontId="35" fillId="4" borderId="1" xfId="0" applyNumberFormat="1" applyFont="1" applyFill="1" applyBorder="1" applyAlignment="1">
      <alignment horizontal="right" vertical="center"/>
    </xf>
    <xf numFmtId="10" fontId="35" fillId="4" borderId="1" xfId="0" applyNumberFormat="1" applyFont="1" applyFill="1" applyBorder="1" applyAlignment="1">
      <alignment horizontal="center" vertical="center"/>
    </xf>
    <xf numFmtId="166" fontId="36" fillId="6" borderId="2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0" fillId="0" borderId="7" xfId="0" applyBorder="1"/>
    <xf numFmtId="0" fontId="18" fillId="23" borderId="4" xfId="0" applyFont="1" applyFill="1" applyBorder="1" applyAlignment="1">
      <alignment horizontal="left" vertical="center" wrapText="1"/>
    </xf>
  </cellXfs>
  <cellStyles count="1">
    <cellStyle name="Standard" xfId="0" builtinId="0"/>
  </cellStyles>
  <dxfs count="6">
    <dxf>
      <fill>
        <patternFill>
          <bgColor rgb="FFFF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7B5800"/>
      <rgbColor rgb="FF800080"/>
      <rgbColor rgb="FF1D6B6B"/>
      <rgbColor rgb="FFD9D9D9"/>
      <rgbColor rgb="FF878787"/>
      <rgbColor rgb="FFF0F4F8"/>
      <rgbColor rgb="FF993366"/>
      <rgbColor rgb="FFFFFFC0"/>
      <rgbColor rgb="FFD6F0F0"/>
      <rgbColor rgb="FF660066"/>
      <rgbColor rgb="FFF5F9FF"/>
      <rgbColor rgb="FF0066CC"/>
      <rgbColor rgb="FFBDD7EE"/>
      <rgbColor rgb="FF000080"/>
      <rgbColor rgb="FFFF00FF"/>
      <rgbColor rgb="FFFFF0E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C8E6C9"/>
      <rgbColor rgb="FFFFE0B2"/>
      <rgbColor rgb="FFFCE4D6"/>
      <rgbColor rgb="FFFFCCCC"/>
      <rgbColor rgb="FF2E75B6"/>
      <rgbColor rgb="FF4BACC6"/>
      <rgbColor rgb="FF99CC00"/>
      <rgbColor rgb="FFF9F9F9"/>
      <rgbColor rgb="FFFF9900"/>
      <rgbColor rgb="FFC55A11"/>
      <rgbColor rgb="FF8064A2"/>
      <rgbColor rgb="FFAAAAAA"/>
      <rgbColor rgb="FF1F3864"/>
      <rgbColor rgb="FF70AD47"/>
      <rgbColor rgb="FF003300"/>
      <rgbColor rgb="FF333300"/>
      <rgbColor rgb="FF993300"/>
      <rgbColor rgb="FF993366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Lean-Verbesserungspotenziale nach Dimension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Gesamtbewertung!$C$5</c:f>
              <c:strCache>
                <c:ptCount val="1"/>
                <c:pt idx="0">
                  <c:v>Termintreue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Gesamtbewertung!$B$6:$B$8</c:f>
              <c:strCache>
                <c:ptCount val="3"/>
                <c:pt idx="0">
                  <c:v>Bauvertrag (VOB)</c:v>
                </c:pt>
                <c:pt idx="1">
                  <c:v>Planervertrag (VgV-HOAI)</c:v>
                </c:pt>
                <c:pt idx="2">
                  <c:v>⬛  Gesamtprojekt (Bau + Planer)</c:v>
                </c:pt>
              </c:strCache>
            </c:strRef>
          </c:cat>
          <c:val>
            <c:numRef>
              <c:f>Gesamtbewertung!$C$6:$C$8</c:f>
              <c:numCache>
                <c:formatCode>0.0%</c:formatCode>
                <c:ptCount val="3"/>
                <c:pt idx="0">
                  <c:v>0.10630952380952381</c:v>
                </c:pt>
                <c:pt idx="1">
                  <c:v>8.559090909090912E-2</c:v>
                </c:pt>
                <c:pt idx="2">
                  <c:v>9.5950216450216466E-2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5-094B-B875-B392F8690EDC}"/>
            </c:ext>
          </c:extLst>
        </c:ser>
        <c:ser>
          <c:idx val="1"/>
          <c:order val="1"/>
          <c:tx>
            <c:strRef>
              <c:f>Gesamtbewertung!$D$5</c:f>
              <c:strCache>
                <c:ptCount val="1"/>
                <c:pt idx="0">
                  <c:v>Kostentreue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Gesamtbewertung!$B$6:$B$8</c:f>
              <c:strCache>
                <c:ptCount val="3"/>
                <c:pt idx="0">
                  <c:v>Bauvertrag (VOB)</c:v>
                </c:pt>
                <c:pt idx="1">
                  <c:v>Planervertrag (VgV-HOAI)</c:v>
                </c:pt>
                <c:pt idx="2">
                  <c:v>⬛  Gesamtprojekt (Bau + Planer)</c:v>
                </c:pt>
              </c:strCache>
            </c:strRef>
          </c:cat>
          <c:val>
            <c:numRef>
              <c:f>Gesamtbewertung!$D$6:$D$8</c:f>
              <c:numCache>
                <c:formatCode>0.0%</c:formatCode>
                <c:ptCount val="3"/>
                <c:pt idx="0">
                  <c:v>5.1587301587301591E-2</c:v>
                </c:pt>
                <c:pt idx="1">
                  <c:v>5.4909090909090914E-2</c:v>
                </c:pt>
                <c:pt idx="2">
                  <c:v>5.3248196248196253E-2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5-094B-B875-B392F8690EDC}"/>
            </c:ext>
          </c:extLst>
        </c:ser>
        <c:ser>
          <c:idx val="2"/>
          <c:order val="2"/>
          <c:tx>
            <c:strRef>
              <c:f>Gesamtbewertung!$E$5</c:f>
              <c:strCache>
                <c:ptCount val="1"/>
                <c:pt idx="0">
                  <c:v>Nachtragsred.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Gesamtbewertung!$B$6:$B$8</c:f>
              <c:strCache>
                <c:ptCount val="3"/>
                <c:pt idx="0">
                  <c:v>Bauvertrag (VOB)</c:v>
                </c:pt>
                <c:pt idx="1">
                  <c:v>Planervertrag (VgV-HOAI)</c:v>
                </c:pt>
                <c:pt idx="2">
                  <c:v>⬛  Gesamtprojekt (Bau + Planer)</c:v>
                </c:pt>
              </c:strCache>
            </c:strRef>
          </c:cat>
          <c:val>
            <c:numRef>
              <c:f>Gesamtbewertung!$E$6:$E$8</c:f>
              <c:numCache>
                <c:formatCode>0.0%</c:formatCode>
                <c:ptCount val="3"/>
                <c:pt idx="0">
                  <c:v>8.1904761904761925E-2</c:v>
                </c:pt>
                <c:pt idx="1">
                  <c:v>8.8500000000000009E-2</c:v>
                </c:pt>
                <c:pt idx="2">
                  <c:v>8.5202380952380974E-2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F5-094B-B875-B392F8690EDC}"/>
            </c:ext>
          </c:extLst>
        </c:ser>
        <c:ser>
          <c:idx val="3"/>
          <c:order val="3"/>
          <c:tx>
            <c:strRef>
              <c:f>Gesamtbewertung!$F$5</c:f>
              <c:strCache>
                <c:ptCount val="1"/>
                <c:pt idx="0">
                  <c:v>Planungsqualität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Gesamtbewertung!$B$6:$B$8</c:f>
              <c:strCache>
                <c:ptCount val="3"/>
                <c:pt idx="0">
                  <c:v>Bauvertrag (VOB)</c:v>
                </c:pt>
                <c:pt idx="1">
                  <c:v>Planervertrag (VgV-HOAI)</c:v>
                </c:pt>
                <c:pt idx="2">
                  <c:v>⬛  Gesamtprojekt (Bau + Planer)</c:v>
                </c:pt>
              </c:strCache>
            </c:strRef>
          </c:cat>
          <c:val>
            <c:numRef>
              <c:f>Gesamtbewertung!$F$6:$F$8</c:f>
              <c:numCache>
                <c:formatCode>0.0%</c:formatCode>
                <c:ptCount val="3"/>
                <c:pt idx="0">
                  <c:v>8.099206349206349E-2</c:v>
                </c:pt>
                <c:pt idx="1">
                  <c:v>9.8045454545454561E-2</c:v>
                </c:pt>
                <c:pt idx="2">
                  <c:v>8.9518759018759025E-2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F5-094B-B875-B392F8690EDC}"/>
            </c:ext>
          </c:extLst>
        </c:ser>
        <c:ser>
          <c:idx val="4"/>
          <c:order val="4"/>
          <c:tx>
            <c:strRef>
              <c:f>Gesamtbewertung!$G$5</c:f>
              <c:strCache>
                <c:ptCount val="1"/>
                <c:pt idx="0">
                  <c:v>Konfliktred.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Gesamtbewertung!$B$6:$B$8</c:f>
              <c:strCache>
                <c:ptCount val="3"/>
                <c:pt idx="0">
                  <c:v>Bauvertrag (VOB)</c:v>
                </c:pt>
                <c:pt idx="1">
                  <c:v>Planervertrag (VgV-HOAI)</c:v>
                </c:pt>
                <c:pt idx="2">
                  <c:v>⬛  Gesamtprojekt (Bau + Planer)</c:v>
                </c:pt>
              </c:strCache>
            </c:strRef>
          </c:cat>
          <c:val>
            <c:numRef>
              <c:f>Gesamtbewertung!$G$6:$G$8</c:f>
              <c:numCache>
                <c:formatCode>0.0%</c:formatCode>
                <c:ptCount val="3"/>
                <c:pt idx="0">
                  <c:v>0.1071031746031746</c:v>
                </c:pt>
                <c:pt idx="1">
                  <c:v>6.5681818181818188E-2</c:v>
                </c:pt>
                <c:pt idx="2">
                  <c:v>8.6392496392496396E-2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F5-094B-B875-B392F8690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878629"/>
        <c:axId val="99253178"/>
      </c:barChart>
      <c:catAx>
        <c:axId val="798786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Bewertungsdimension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99253178"/>
        <c:crosses val="autoZero"/>
        <c:auto val="1"/>
        <c:lblAlgn val="ctr"/>
        <c:lblOffset val="100"/>
        <c:noMultiLvlLbl val="0"/>
      </c:catAx>
      <c:valAx>
        <c:axId val="9925317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Potenzial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798786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6</xdr:col>
      <xdr:colOff>165960</xdr:colOff>
      <xdr:row>32</xdr:row>
      <xdr:rowOff>61560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6174EE-489B-B247-8929-484A3ABFDD45}">
  <we:reference id="29673e3c-d826-4f00-92ee-162334a52b1a" version="1.0.0.8" store="EXCatalog" storeType="EXCatalog"/>
  <we:alternateReferences>
    <we:reference id="WA200009404" version="1.0.0.8" store="de-DE" storeType="OMEX"/>
  </we:alternateReferences>
  <we:properties>
    <we:property name="claude.fileId" value="&quot;7641c1d9-dddf-4bcc-ae8e-1c62eff7e466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7"/>
  <sheetViews>
    <sheetView showGridLines="0" tabSelected="1" zoomScaleNormal="100" workbookViewId="0"/>
  </sheetViews>
  <sheetFormatPr baseColWidth="10" defaultColWidth="8.6640625" defaultRowHeight="15" x14ac:dyDescent="0.2"/>
  <cols>
    <col min="1" max="1" width="3" customWidth="1"/>
    <col min="2" max="2" width="42" customWidth="1"/>
    <col min="3" max="3" width="28" customWidth="1"/>
    <col min="4" max="4" width="22" customWidth="1"/>
  </cols>
  <sheetData>
    <row r="1" spans="2:4" ht="9.75" customHeight="1" x14ac:dyDescent="0.2"/>
    <row r="2" spans="2:4" ht="49.5" customHeight="1" x14ac:dyDescent="0.2">
      <c r="B2" s="14" t="s">
        <v>0</v>
      </c>
      <c r="C2" s="14"/>
      <c r="D2" s="14"/>
    </row>
    <row r="3" spans="2:4" ht="21.75" customHeight="1" x14ac:dyDescent="0.2">
      <c r="B3" s="13" t="s">
        <v>1</v>
      </c>
      <c r="C3" s="13"/>
      <c r="D3" s="13"/>
    </row>
    <row r="4" spans="2:4" ht="12" customHeight="1" x14ac:dyDescent="0.2"/>
    <row r="5" spans="2:4" ht="31.5" customHeight="1" x14ac:dyDescent="0.2">
      <c r="B5" s="15" t="s">
        <v>2</v>
      </c>
    </row>
    <row r="6" spans="2:4" ht="36" customHeight="1" x14ac:dyDescent="0.2">
      <c r="B6" s="16" t="s">
        <v>3</v>
      </c>
      <c r="C6" s="113">
        <v>120000000</v>
      </c>
      <c r="D6" s="17" t="s">
        <v>4</v>
      </c>
    </row>
    <row r="7" spans="2:4" ht="19.5" customHeight="1" x14ac:dyDescent="0.2">
      <c r="B7" s="12" t="s">
        <v>5</v>
      </c>
      <c r="C7" s="12"/>
      <c r="D7" s="12"/>
    </row>
    <row r="8" spans="2:4" ht="9.75" customHeight="1" x14ac:dyDescent="0.2"/>
    <row r="9" spans="2:4" ht="21.75" customHeight="1" x14ac:dyDescent="0.2">
      <c r="B9" s="11" t="s">
        <v>6</v>
      </c>
      <c r="C9" s="11"/>
      <c r="D9" s="11"/>
    </row>
    <row r="10" spans="2:4" ht="19.5" customHeight="1" x14ac:dyDescent="0.2">
      <c r="B10" s="10" t="s">
        <v>7</v>
      </c>
      <c r="C10" s="10"/>
      <c r="D10" s="10"/>
    </row>
    <row r="11" spans="2:4" ht="19.5" customHeight="1" x14ac:dyDescent="0.2">
      <c r="B11" s="9" t="s">
        <v>8</v>
      </c>
      <c r="C11" s="9"/>
      <c r="D11" s="9"/>
    </row>
    <row r="12" spans="2:4" ht="19.5" customHeight="1" x14ac:dyDescent="0.2">
      <c r="B12" s="10" t="s">
        <v>9</v>
      </c>
      <c r="C12" s="10"/>
      <c r="D12" s="10"/>
    </row>
    <row r="13" spans="2:4" ht="19.5" customHeight="1" x14ac:dyDescent="0.2">
      <c r="B13" s="9" t="s">
        <v>10</v>
      </c>
      <c r="C13" s="9"/>
      <c r="D13" s="9"/>
    </row>
    <row r="14" spans="2:4" ht="9.75" customHeight="1" x14ac:dyDescent="0.2"/>
    <row r="15" spans="2:4" ht="21.75" customHeight="1" x14ac:dyDescent="0.2">
      <c r="B15" s="8" t="s">
        <v>11</v>
      </c>
      <c r="C15" s="8"/>
      <c r="D15" s="8"/>
    </row>
    <row r="16" spans="2:4" ht="18.75" customHeight="1" x14ac:dyDescent="0.2">
      <c r="B16" s="7" t="s">
        <v>12</v>
      </c>
      <c r="C16" s="7"/>
      <c r="D16" s="7"/>
    </row>
    <row r="17" spans="2:4" ht="18.75" customHeight="1" x14ac:dyDescent="0.2">
      <c r="B17" s="6" t="s">
        <v>13</v>
      </c>
      <c r="C17" s="6"/>
      <c r="D17" s="6"/>
    </row>
    <row r="18" spans="2:4" ht="18.75" customHeight="1" x14ac:dyDescent="0.2">
      <c r="B18" s="7" t="s">
        <v>14</v>
      </c>
      <c r="C18" s="7"/>
      <c r="D18" s="7"/>
    </row>
    <row r="19" spans="2:4" ht="18.75" customHeight="1" x14ac:dyDescent="0.2">
      <c r="B19" s="6" t="s">
        <v>15</v>
      </c>
      <c r="C19" s="6"/>
      <c r="D19" s="6"/>
    </row>
    <row r="20" spans="2:4" ht="18.75" customHeight="1" x14ac:dyDescent="0.2">
      <c r="B20" s="7" t="s">
        <v>16</v>
      </c>
      <c r="C20" s="7"/>
      <c r="D20" s="7"/>
    </row>
    <row r="21" spans="2:4" ht="18.75" customHeight="1" x14ac:dyDescent="0.2">
      <c r="B21" s="6" t="s">
        <v>17</v>
      </c>
      <c r="C21" s="6"/>
      <c r="D21" s="6"/>
    </row>
    <row r="22" spans="2:4" ht="9.75" customHeight="1" x14ac:dyDescent="0.2"/>
    <row r="23" spans="2:4" ht="19.5" customHeight="1" x14ac:dyDescent="0.2">
      <c r="B23" s="5" t="s">
        <v>18</v>
      </c>
      <c r="C23" s="5"/>
      <c r="D23" s="5"/>
    </row>
    <row r="24" spans="2:4" ht="19.5" customHeight="1" x14ac:dyDescent="0.2">
      <c r="B24" s="4" t="s">
        <v>19</v>
      </c>
      <c r="C24" s="4"/>
      <c r="D24" s="4"/>
    </row>
    <row r="25" spans="2:4" ht="19.5" customHeight="1" x14ac:dyDescent="0.2">
      <c r="B25" s="3" t="s">
        <v>20</v>
      </c>
      <c r="C25" s="3"/>
      <c r="D25" s="3"/>
    </row>
    <row r="26" spans="2:4" ht="9.75" customHeight="1" x14ac:dyDescent="0.2"/>
    <row r="27" spans="2:4" ht="19.5" customHeight="1" x14ac:dyDescent="0.2">
      <c r="B27" s="2" t="s">
        <v>21</v>
      </c>
      <c r="C27" s="2"/>
      <c r="D27" s="2"/>
    </row>
  </sheetData>
  <mergeCells count="19">
    <mergeCell ref="B23:D23"/>
    <mergeCell ref="B24:D24"/>
    <mergeCell ref="B25:D25"/>
    <mergeCell ref="B27:D27"/>
    <mergeCell ref="B17:D17"/>
    <mergeCell ref="B18:D18"/>
    <mergeCell ref="B19:D19"/>
    <mergeCell ref="B20:D20"/>
    <mergeCell ref="B21:D21"/>
    <mergeCell ref="B11:D11"/>
    <mergeCell ref="B12:D12"/>
    <mergeCell ref="B13:D13"/>
    <mergeCell ref="B15:D15"/>
    <mergeCell ref="B16:D16"/>
    <mergeCell ref="B2:D2"/>
    <mergeCell ref="B3:D3"/>
    <mergeCell ref="B7:D7"/>
    <mergeCell ref="B9:D9"/>
    <mergeCell ref="B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2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2" customWidth="1"/>
    <col min="2" max="2" width="26" customWidth="1"/>
    <col min="3" max="3" width="40" customWidth="1"/>
    <col min="4" max="4" width="44" customWidth="1"/>
    <col min="5" max="5" width="13" customWidth="1"/>
    <col min="6" max="7" width="11" customWidth="1"/>
    <col min="8" max="8" width="13" customWidth="1"/>
    <col min="9" max="10" width="11" customWidth="1"/>
    <col min="11" max="11" width="13" customWidth="1"/>
    <col min="12" max="13" width="11" customWidth="1"/>
    <col min="14" max="14" width="13" customWidth="1"/>
    <col min="15" max="16" width="11" customWidth="1"/>
    <col min="17" max="17" width="13" customWidth="1"/>
    <col min="18" max="19" width="11" customWidth="1"/>
    <col min="20" max="20" width="13" customWidth="1"/>
    <col min="21" max="21" width="10" customWidth="1"/>
    <col min="22" max="23" width="13" customWidth="1"/>
    <col min="24" max="24" width="16" customWidth="1"/>
    <col min="25" max="25" width="14" customWidth="1"/>
    <col min="26" max="26" width="30" customWidth="1"/>
  </cols>
  <sheetData>
    <row r="1" spans="2:26" ht="7.5" customHeight="1" x14ac:dyDescent="0.2"/>
    <row r="2" spans="2:26" ht="37.5" customHeight="1" x14ac:dyDescent="0.2">
      <c r="B2" s="1" t="s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19.5" customHeight="1" x14ac:dyDescent="0.2">
      <c r="B3" s="70" t="s">
        <v>23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2:26" ht="7.5" customHeight="1" x14ac:dyDescent="0.2"/>
    <row r="5" spans="2:26" ht="21.75" customHeight="1" x14ac:dyDescent="0.2">
      <c r="B5" s="71" t="s">
        <v>24</v>
      </c>
      <c r="C5" s="71"/>
      <c r="D5" s="71"/>
      <c r="E5" s="18" t="s">
        <v>25</v>
      </c>
      <c r="F5" s="72" t="s">
        <v>26</v>
      </c>
      <c r="G5" s="72"/>
      <c r="H5" s="72"/>
      <c r="I5" s="72" t="s">
        <v>27</v>
      </c>
      <c r="J5" s="72"/>
      <c r="K5" s="72"/>
      <c r="L5" s="72" t="s">
        <v>28</v>
      </c>
      <c r="M5" s="72"/>
      <c r="N5" s="72"/>
      <c r="O5" s="72" t="s">
        <v>29</v>
      </c>
      <c r="P5" s="72"/>
      <c r="Q5" s="72"/>
      <c r="R5" s="72" t="s">
        <v>30</v>
      </c>
      <c r="S5" s="72"/>
      <c r="T5" s="72"/>
      <c r="U5" s="18" t="s">
        <v>31</v>
      </c>
      <c r="V5" s="73" t="s">
        <v>32</v>
      </c>
      <c r="W5" s="73"/>
      <c r="X5" s="73"/>
      <c r="Y5" s="73"/>
      <c r="Z5" s="18" t="s">
        <v>33</v>
      </c>
    </row>
    <row r="6" spans="2:26" ht="31.5" customHeight="1" x14ac:dyDescent="0.2">
      <c r="B6" s="19" t="s">
        <v>34</v>
      </c>
      <c r="C6" s="19" t="s">
        <v>35</v>
      </c>
      <c r="D6" s="19" t="s">
        <v>36</v>
      </c>
      <c r="E6" s="20" t="s">
        <v>37</v>
      </c>
      <c r="F6" s="21" t="s">
        <v>38</v>
      </c>
      <c r="G6" s="21" t="s">
        <v>39</v>
      </c>
      <c r="H6" s="22" t="s">
        <v>40</v>
      </c>
      <c r="I6" s="21" t="s">
        <v>38</v>
      </c>
      <c r="J6" s="21" t="s">
        <v>39</v>
      </c>
      <c r="K6" s="22" t="s">
        <v>40</v>
      </c>
      <c r="L6" s="21" t="s">
        <v>38</v>
      </c>
      <c r="M6" s="21" t="s">
        <v>39</v>
      </c>
      <c r="N6" s="22" t="s">
        <v>40</v>
      </c>
      <c r="O6" s="21" t="s">
        <v>38</v>
      </c>
      <c r="P6" s="21" t="s">
        <v>39</v>
      </c>
      <c r="Q6" s="22" t="s">
        <v>40</v>
      </c>
      <c r="R6" s="21" t="s">
        <v>38</v>
      </c>
      <c r="S6" s="21" t="s">
        <v>39</v>
      </c>
      <c r="T6" s="22" t="s">
        <v>40</v>
      </c>
      <c r="U6" s="19" t="s">
        <v>41</v>
      </c>
      <c r="V6" s="23" t="s">
        <v>42</v>
      </c>
      <c r="W6" s="23" t="s">
        <v>43</v>
      </c>
      <c r="X6" s="23" t="s">
        <v>44</v>
      </c>
      <c r="Y6" s="23" t="s">
        <v>45</v>
      </c>
      <c r="Z6" s="19" t="s">
        <v>46</v>
      </c>
    </row>
    <row r="7" spans="2:26" ht="27.75" customHeight="1" x14ac:dyDescent="0.2">
      <c r="B7" s="24" t="s">
        <v>47</v>
      </c>
      <c r="C7" s="25" t="s">
        <v>48</v>
      </c>
      <c r="D7" s="26" t="s">
        <v>49</v>
      </c>
      <c r="E7" s="27" t="s">
        <v>50</v>
      </c>
      <c r="F7" s="28">
        <v>0.15</v>
      </c>
      <c r="G7" s="28">
        <v>0.3</v>
      </c>
      <c r="H7" s="29">
        <f t="shared" ref="H7:H20" si="0">IF(E7="Ja",(F7+G7)/2,IF(E7="Teilweise",(F7+G7)/4,0))</f>
        <v>0.22499999999999998</v>
      </c>
      <c r="I7" s="28">
        <v>0.05</v>
      </c>
      <c r="J7" s="28">
        <v>0.12</v>
      </c>
      <c r="K7" s="29">
        <f t="shared" ref="K7:K20" si="1">IF(E7="Ja",(I7+J7)/2,IF(E7="Teilweise",(I7+J7)/4,0))</f>
        <v>8.4999999999999992E-2</v>
      </c>
      <c r="L7" s="28">
        <v>0.1</v>
      </c>
      <c r="M7" s="28">
        <v>0.2</v>
      </c>
      <c r="N7" s="29">
        <f t="shared" ref="N7:N20" si="2">IF(E7="Ja",(L7+M7)/2,IF(E7="Teilweise",(L7+M7)/4,0))</f>
        <v>0.15000000000000002</v>
      </c>
      <c r="O7" s="28">
        <v>0.1</v>
      </c>
      <c r="P7" s="28">
        <v>0.2</v>
      </c>
      <c r="Q7" s="29">
        <f t="shared" ref="Q7:Q20" si="3">IF(E7="Ja",(O7+P7)/2,IF(E7="Teilweise",(O7+P7)/4,0))</f>
        <v>0.15000000000000002</v>
      </c>
      <c r="R7" s="28">
        <v>0.08</v>
      </c>
      <c r="S7" s="28">
        <v>0.15</v>
      </c>
      <c r="T7" s="29">
        <f t="shared" ref="T7:T20" si="4">IF(E7="Ja",(R7+S7)/2,IF(E7="Teilweise",(R7+S7)/4,0))</f>
        <v>0.11499999999999999</v>
      </c>
      <c r="U7" s="30">
        <v>0.9</v>
      </c>
      <c r="V7" s="31">
        <v>1E-3</v>
      </c>
      <c r="W7" s="31">
        <v>2.5000000000000001E-3</v>
      </c>
      <c r="X7" s="32">
        <f t="shared" ref="X7:X20" si="5">IFERROR(IF(E7="Ja",(V7+W7)*Bausumme,IF(E7="Teilweise",(V7+W7)*Bausumme*0.6,0)),0)</f>
        <v>420000</v>
      </c>
      <c r="Y7" s="33" t="s">
        <v>51</v>
      </c>
      <c r="Z7" s="34" t="s">
        <v>52</v>
      </c>
    </row>
    <row r="8" spans="2:26" ht="27.75" customHeight="1" x14ac:dyDescent="0.2">
      <c r="B8" s="35" t="s">
        <v>47</v>
      </c>
      <c r="C8" s="36" t="s">
        <v>53</v>
      </c>
      <c r="D8" s="37" t="s">
        <v>54</v>
      </c>
      <c r="E8" s="27" t="s">
        <v>55</v>
      </c>
      <c r="F8" s="28">
        <v>0.1</v>
      </c>
      <c r="G8" s="28">
        <v>0.25</v>
      </c>
      <c r="H8" s="29">
        <f t="shared" si="0"/>
        <v>8.7499999999999994E-2</v>
      </c>
      <c r="I8" s="28">
        <v>0.05</v>
      </c>
      <c r="J8" s="28">
        <v>0.15</v>
      </c>
      <c r="K8" s="29">
        <f t="shared" si="1"/>
        <v>0.05</v>
      </c>
      <c r="L8" s="28">
        <v>0.05</v>
      </c>
      <c r="M8" s="28">
        <v>0.12</v>
      </c>
      <c r="N8" s="29">
        <f t="shared" si="2"/>
        <v>4.2499999999999996E-2</v>
      </c>
      <c r="O8" s="28">
        <v>0.08</v>
      </c>
      <c r="P8" s="28">
        <v>0.18</v>
      </c>
      <c r="Q8" s="29">
        <f t="shared" si="3"/>
        <v>6.5000000000000002E-2</v>
      </c>
      <c r="R8" s="28">
        <v>0.05</v>
      </c>
      <c r="S8" s="28">
        <v>0.1</v>
      </c>
      <c r="T8" s="29">
        <f t="shared" si="4"/>
        <v>3.7500000000000006E-2</v>
      </c>
      <c r="U8" s="30">
        <v>0.7</v>
      </c>
      <c r="V8" s="31">
        <v>8.0000000000000004E-4</v>
      </c>
      <c r="W8" s="31">
        <v>2E-3</v>
      </c>
      <c r="X8" s="32">
        <f t="shared" si="5"/>
        <v>201600</v>
      </c>
      <c r="Y8" s="33" t="s">
        <v>56</v>
      </c>
      <c r="Z8" s="38" t="s">
        <v>57</v>
      </c>
    </row>
    <row r="9" spans="2:26" ht="27.75" customHeight="1" x14ac:dyDescent="0.2">
      <c r="B9" s="24" t="s">
        <v>47</v>
      </c>
      <c r="C9" s="25" t="s">
        <v>58</v>
      </c>
      <c r="D9" s="26" t="s">
        <v>59</v>
      </c>
      <c r="E9" s="27" t="s">
        <v>55</v>
      </c>
      <c r="F9" s="28">
        <v>0.08</v>
      </c>
      <c r="G9" s="28">
        <v>0.18</v>
      </c>
      <c r="H9" s="29">
        <f t="shared" si="0"/>
        <v>6.5000000000000002E-2</v>
      </c>
      <c r="I9" s="28">
        <v>0.03</v>
      </c>
      <c r="J9" s="28">
        <v>0.1</v>
      </c>
      <c r="K9" s="29">
        <f t="shared" si="1"/>
        <v>3.2500000000000001E-2</v>
      </c>
      <c r="L9" s="28">
        <v>0.05</v>
      </c>
      <c r="M9" s="28">
        <v>0.15</v>
      </c>
      <c r="N9" s="29">
        <f t="shared" si="2"/>
        <v>0.05</v>
      </c>
      <c r="O9" s="28">
        <v>0.05</v>
      </c>
      <c r="P9" s="28">
        <v>0.15</v>
      </c>
      <c r="Q9" s="29">
        <f t="shared" si="3"/>
        <v>0.05</v>
      </c>
      <c r="R9" s="28">
        <v>0.1</v>
      </c>
      <c r="S9" s="28">
        <v>0.2</v>
      </c>
      <c r="T9" s="29">
        <f t="shared" si="4"/>
        <v>7.5000000000000011E-2</v>
      </c>
      <c r="U9" s="30">
        <v>0.6</v>
      </c>
      <c r="V9" s="31">
        <v>5.0000000000000001E-4</v>
      </c>
      <c r="W9" s="31">
        <v>3.0000000000000001E-3</v>
      </c>
      <c r="X9" s="32">
        <f t="shared" si="5"/>
        <v>252000</v>
      </c>
      <c r="Y9" s="33" t="s">
        <v>60</v>
      </c>
      <c r="Z9" s="34" t="s">
        <v>61</v>
      </c>
    </row>
    <row r="10" spans="2:26" ht="27.75" customHeight="1" x14ac:dyDescent="0.2">
      <c r="B10" s="35" t="s">
        <v>62</v>
      </c>
      <c r="C10" s="36" t="s">
        <v>63</v>
      </c>
      <c r="D10" s="37" t="s">
        <v>64</v>
      </c>
      <c r="E10" s="27" t="s">
        <v>55</v>
      </c>
      <c r="F10" s="28">
        <v>0.1</v>
      </c>
      <c r="G10" s="28">
        <v>0.2</v>
      </c>
      <c r="H10" s="29">
        <f t="shared" si="0"/>
        <v>7.5000000000000011E-2</v>
      </c>
      <c r="I10" s="28">
        <v>0.03</v>
      </c>
      <c r="J10" s="28">
        <v>0.08</v>
      </c>
      <c r="K10" s="29">
        <f t="shared" si="1"/>
        <v>2.75E-2</v>
      </c>
      <c r="L10" s="28">
        <v>0.03</v>
      </c>
      <c r="M10" s="28">
        <v>0.08</v>
      </c>
      <c r="N10" s="29">
        <f t="shared" si="2"/>
        <v>2.75E-2</v>
      </c>
      <c r="O10" s="28">
        <v>0.02</v>
      </c>
      <c r="P10" s="28">
        <v>0.06</v>
      </c>
      <c r="Q10" s="29">
        <f t="shared" si="3"/>
        <v>0.02</v>
      </c>
      <c r="R10" s="28">
        <v>0.02</v>
      </c>
      <c r="S10" s="28">
        <v>0.05</v>
      </c>
      <c r="T10" s="29">
        <f t="shared" si="4"/>
        <v>1.7500000000000002E-2</v>
      </c>
      <c r="U10" s="30">
        <v>0.7</v>
      </c>
      <c r="V10" s="31">
        <v>2.9999999999999997E-4</v>
      </c>
      <c r="W10" s="31">
        <v>5.0000000000000001E-4</v>
      </c>
      <c r="X10" s="32">
        <f t="shared" si="5"/>
        <v>57599.999999999993</v>
      </c>
      <c r="Y10" s="33" t="s">
        <v>65</v>
      </c>
      <c r="Z10" s="38" t="s">
        <v>66</v>
      </c>
    </row>
    <row r="11" spans="2:26" ht="27.75" customHeight="1" x14ac:dyDescent="0.2">
      <c r="B11" s="24" t="s">
        <v>62</v>
      </c>
      <c r="C11" s="25" t="s">
        <v>67</v>
      </c>
      <c r="D11" s="26" t="s">
        <v>68</v>
      </c>
      <c r="E11" s="27" t="s">
        <v>69</v>
      </c>
      <c r="F11" s="28">
        <v>0.05</v>
      </c>
      <c r="G11" s="28">
        <v>0.12</v>
      </c>
      <c r="H11" s="29">
        <f t="shared" si="0"/>
        <v>0</v>
      </c>
      <c r="I11" s="28">
        <v>0.08</v>
      </c>
      <c r="J11" s="28">
        <v>0.18</v>
      </c>
      <c r="K11" s="29">
        <f t="shared" si="1"/>
        <v>0</v>
      </c>
      <c r="L11" s="28">
        <v>0.05</v>
      </c>
      <c r="M11" s="28">
        <v>0.12</v>
      </c>
      <c r="N11" s="29">
        <f t="shared" si="2"/>
        <v>0</v>
      </c>
      <c r="O11" s="28">
        <v>0.05</v>
      </c>
      <c r="P11" s="28">
        <v>0.15</v>
      </c>
      <c r="Q11" s="29">
        <f t="shared" si="3"/>
        <v>0</v>
      </c>
      <c r="R11" s="28">
        <v>0.03</v>
      </c>
      <c r="S11" s="28">
        <v>0.08</v>
      </c>
      <c r="T11" s="29">
        <f t="shared" si="4"/>
        <v>0</v>
      </c>
      <c r="U11" s="30">
        <v>0.7</v>
      </c>
      <c r="V11" s="31">
        <v>4.0000000000000002E-4</v>
      </c>
      <c r="W11" s="31">
        <v>5.9999999999999995E-4</v>
      </c>
      <c r="X11" s="32">
        <f t="shared" si="5"/>
        <v>0</v>
      </c>
      <c r="Y11" s="33" t="s">
        <v>70</v>
      </c>
      <c r="Z11" s="34" t="s">
        <v>71</v>
      </c>
    </row>
    <row r="12" spans="2:26" ht="27.75" customHeight="1" x14ac:dyDescent="0.2">
      <c r="B12" s="35" t="s">
        <v>62</v>
      </c>
      <c r="C12" s="36" t="s">
        <v>72</v>
      </c>
      <c r="D12" s="37" t="s">
        <v>73</v>
      </c>
      <c r="E12" s="27" t="s">
        <v>69</v>
      </c>
      <c r="F12" s="28">
        <v>0.05</v>
      </c>
      <c r="G12" s="28">
        <v>0.15</v>
      </c>
      <c r="H12" s="29">
        <f t="shared" si="0"/>
        <v>0</v>
      </c>
      <c r="I12" s="28">
        <v>0.1</v>
      </c>
      <c r="J12" s="28">
        <v>0.2</v>
      </c>
      <c r="K12" s="29">
        <f t="shared" si="1"/>
        <v>0</v>
      </c>
      <c r="L12" s="28">
        <v>0.1</v>
      </c>
      <c r="M12" s="28">
        <v>0.2</v>
      </c>
      <c r="N12" s="29">
        <f t="shared" si="2"/>
        <v>0</v>
      </c>
      <c r="O12" s="28">
        <v>0.03</v>
      </c>
      <c r="P12" s="28">
        <v>0.1</v>
      </c>
      <c r="Q12" s="29">
        <f t="shared" si="3"/>
        <v>0</v>
      </c>
      <c r="R12" s="28">
        <v>0.05</v>
      </c>
      <c r="S12" s="28">
        <v>0.12</v>
      </c>
      <c r="T12" s="29">
        <f t="shared" si="4"/>
        <v>0</v>
      </c>
      <c r="U12" s="30">
        <v>0.6</v>
      </c>
      <c r="V12" s="31">
        <v>8.0000000000000004E-4</v>
      </c>
      <c r="W12" s="31">
        <v>1E-3</v>
      </c>
      <c r="X12" s="32">
        <f t="shared" si="5"/>
        <v>0</v>
      </c>
      <c r="Y12" s="33" t="s">
        <v>74</v>
      </c>
      <c r="Z12" s="38" t="s">
        <v>75</v>
      </c>
    </row>
    <row r="13" spans="2:26" ht="27.75" customHeight="1" x14ac:dyDescent="0.2">
      <c r="B13" s="24" t="s">
        <v>76</v>
      </c>
      <c r="C13" s="25" t="s">
        <v>77</v>
      </c>
      <c r="D13" s="26" t="s">
        <v>78</v>
      </c>
      <c r="E13" s="27" t="s">
        <v>69</v>
      </c>
      <c r="F13" s="28">
        <v>0.08</v>
      </c>
      <c r="G13" s="28">
        <v>0.18</v>
      </c>
      <c r="H13" s="29">
        <f t="shared" si="0"/>
        <v>0</v>
      </c>
      <c r="I13" s="28">
        <v>0.05</v>
      </c>
      <c r="J13" s="28">
        <v>0.15</v>
      </c>
      <c r="K13" s="29">
        <f t="shared" si="1"/>
        <v>0</v>
      </c>
      <c r="L13" s="28">
        <v>0.1</v>
      </c>
      <c r="M13" s="28">
        <v>0.22</v>
      </c>
      <c r="N13" s="29">
        <f t="shared" si="2"/>
        <v>0</v>
      </c>
      <c r="O13" s="28">
        <v>0.1</v>
      </c>
      <c r="P13" s="28">
        <v>0.2</v>
      </c>
      <c r="Q13" s="29">
        <f t="shared" si="3"/>
        <v>0</v>
      </c>
      <c r="R13" s="28">
        <v>0.08</v>
      </c>
      <c r="S13" s="28">
        <v>0.18</v>
      </c>
      <c r="T13" s="29">
        <f t="shared" si="4"/>
        <v>0</v>
      </c>
      <c r="U13" s="30">
        <v>0.8</v>
      </c>
      <c r="V13" s="31">
        <v>1E-3</v>
      </c>
      <c r="W13" s="31">
        <v>1.5E-3</v>
      </c>
      <c r="X13" s="32">
        <f t="shared" si="5"/>
        <v>0</v>
      </c>
      <c r="Y13" s="33" t="s">
        <v>79</v>
      </c>
      <c r="Z13" s="34" t="s">
        <v>80</v>
      </c>
    </row>
    <row r="14" spans="2:26" ht="27.75" customHeight="1" x14ac:dyDescent="0.2">
      <c r="B14" s="35" t="s">
        <v>76</v>
      </c>
      <c r="C14" s="36" t="s">
        <v>81</v>
      </c>
      <c r="D14" s="37" t="s">
        <v>82</v>
      </c>
      <c r="E14" s="27" t="s">
        <v>69</v>
      </c>
      <c r="F14" s="28">
        <v>0.05</v>
      </c>
      <c r="G14" s="28">
        <v>0.12</v>
      </c>
      <c r="H14" s="29">
        <f t="shared" si="0"/>
        <v>0</v>
      </c>
      <c r="I14" s="28">
        <v>0.1</v>
      </c>
      <c r="J14" s="28">
        <v>0.25</v>
      </c>
      <c r="K14" s="29">
        <f t="shared" si="1"/>
        <v>0</v>
      </c>
      <c r="L14" s="28">
        <v>0.08</v>
      </c>
      <c r="M14" s="28">
        <v>0.18</v>
      </c>
      <c r="N14" s="29">
        <f t="shared" si="2"/>
        <v>0</v>
      </c>
      <c r="O14" s="28">
        <v>0.08</v>
      </c>
      <c r="P14" s="28">
        <v>0.18</v>
      </c>
      <c r="Q14" s="29">
        <f t="shared" si="3"/>
        <v>0</v>
      </c>
      <c r="R14" s="28">
        <v>0.05</v>
      </c>
      <c r="S14" s="28">
        <v>0.12</v>
      </c>
      <c r="T14" s="29">
        <f t="shared" si="4"/>
        <v>0</v>
      </c>
      <c r="U14" s="30">
        <v>0.8</v>
      </c>
      <c r="V14" s="31">
        <v>1.1999999999999999E-3</v>
      </c>
      <c r="W14" s="31">
        <v>8.0000000000000004E-4</v>
      </c>
      <c r="X14" s="32">
        <f t="shared" si="5"/>
        <v>0</v>
      </c>
      <c r="Y14" s="33" t="s">
        <v>83</v>
      </c>
      <c r="Z14" s="38" t="s">
        <v>84</v>
      </c>
    </row>
    <row r="15" spans="2:26" ht="27.75" customHeight="1" x14ac:dyDescent="0.2">
      <c r="B15" s="24" t="s">
        <v>85</v>
      </c>
      <c r="C15" s="25" t="s">
        <v>86</v>
      </c>
      <c r="D15" s="26" t="s">
        <v>87</v>
      </c>
      <c r="E15" s="27" t="s">
        <v>50</v>
      </c>
      <c r="F15" s="28">
        <v>0.08</v>
      </c>
      <c r="G15" s="28">
        <v>0.2</v>
      </c>
      <c r="H15" s="29">
        <f t="shared" si="0"/>
        <v>0.14000000000000001</v>
      </c>
      <c r="I15" s="28">
        <v>0.04</v>
      </c>
      <c r="J15" s="28">
        <v>0.12</v>
      </c>
      <c r="K15" s="29">
        <f t="shared" si="1"/>
        <v>0.08</v>
      </c>
      <c r="L15" s="28">
        <v>0.08</v>
      </c>
      <c r="M15" s="28">
        <v>0.18</v>
      </c>
      <c r="N15" s="29">
        <f t="shared" si="2"/>
        <v>0.13</v>
      </c>
      <c r="O15" s="28">
        <v>0.06</v>
      </c>
      <c r="P15" s="28">
        <v>0.15</v>
      </c>
      <c r="Q15" s="29">
        <f t="shared" si="3"/>
        <v>0.105</v>
      </c>
      <c r="R15" s="28">
        <v>0.06</v>
      </c>
      <c r="S15" s="28">
        <v>0.14000000000000001</v>
      </c>
      <c r="T15" s="29">
        <f t="shared" si="4"/>
        <v>0.1</v>
      </c>
      <c r="U15" s="30">
        <v>0.8</v>
      </c>
      <c r="V15" s="31">
        <v>5.0000000000000001E-4</v>
      </c>
      <c r="W15" s="31">
        <v>1E-3</v>
      </c>
      <c r="X15" s="32">
        <f t="shared" si="5"/>
        <v>180000</v>
      </c>
      <c r="Y15" s="33" t="s">
        <v>88</v>
      </c>
      <c r="Z15" s="34" t="s">
        <v>89</v>
      </c>
    </row>
    <row r="16" spans="2:26" ht="27.75" customHeight="1" x14ac:dyDescent="0.2">
      <c r="B16" s="35" t="s">
        <v>85</v>
      </c>
      <c r="C16" s="36" t="s">
        <v>90</v>
      </c>
      <c r="D16" s="37" t="s">
        <v>91</v>
      </c>
      <c r="E16" s="27" t="s">
        <v>50</v>
      </c>
      <c r="F16" s="28">
        <v>0.1</v>
      </c>
      <c r="G16" s="28">
        <v>0.2</v>
      </c>
      <c r="H16" s="29">
        <f t="shared" si="0"/>
        <v>0.15000000000000002</v>
      </c>
      <c r="I16" s="28">
        <v>0.02</v>
      </c>
      <c r="J16" s="28">
        <v>0.08</v>
      </c>
      <c r="K16" s="29">
        <f t="shared" si="1"/>
        <v>0.05</v>
      </c>
      <c r="L16" s="28">
        <v>0.03</v>
      </c>
      <c r="M16" s="28">
        <v>0.08</v>
      </c>
      <c r="N16" s="29">
        <f t="shared" si="2"/>
        <v>5.5E-2</v>
      </c>
      <c r="O16" s="28">
        <v>0.05</v>
      </c>
      <c r="P16" s="28">
        <v>0.12</v>
      </c>
      <c r="Q16" s="29">
        <f t="shared" si="3"/>
        <v>8.4999999999999992E-2</v>
      </c>
      <c r="R16" s="28">
        <v>0.03</v>
      </c>
      <c r="S16" s="28">
        <v>0.08</v>
      </c>
      <c r="T16" s="29">
        <f t="shared" si="4"/>
        <v>5.5E-2</v>
      </c>
      <c r="U16" s="30">
        <v>0.6</v>
      </c>
      <c r="V16" s="31">
        <v>2.0000000000000001E-4</v>
      </c>
      <c r="W16" s="31">
        <v>8.0000000000000004E-4</v>
      </c>
      <c r="X16" s="32">
        <f t="shared" si="5"/>
        <v>120000</v>
      </c>
      <c r="Y16" s="33" t="s">
        <v>92</v>
      </c>
      <c r="Z16" s="38" t="s">
        <v>93</v>
      </c>
    </row>
    <row r="17" spans="2:26" ht="27.75" customHeight="1" x14ac:dyDescent="0.2">
      <c r="B17" s="24" t="s">
        <v>94</v>
      </c>
      <c r="C17" s="25" t="s">
        <v>95</v>
      </c>
      <c r="D17" s="26" t="s">
        <v>96</v>
      </c>
      <c r="E17" s="27" t="s">
        <v>50</v>
      </c>
      <c r="F17" s="28">
        <v>0.03</v>
      </c>
      <c r="G17" s="28">
        <v>0.08</v>
      </c>
      <c r="H17" s="29">
        <f t="shared" si="0"/>
        <v>5.5E-2</v>
      </c>
      <c r="I17" s="28">
        <v>0.02</v>
      </c>
      <c r="J17" s="28">
        <v>0.06</v>
      </c>
      <c r="K17" s="29">
        <f t="shared" si="1"/>
        <v>0.04</v>
      </c>
      <c r="L17" s="28">
        <v>0.05</v>
      </c>
      <c r="M17" s="28">
        <v>0.12</v>
      </c>
      <c r="N17" s="29">
        <f t="shared" si="2"/>
        <v>8.4999999999999992E-2</v>
      </c>
      <c r="O17" s="28">
        <v>0.03</v>
      </c>
      <c r="P17" s="28">
        <v>0.08</v>
      </c>
      <c r="Q17" s="29">
        <f t="shared" si="3"/>
        <v>5.5E-2</v>
      </c>
      <c r="R17" s="28">
        <v>0.2</v>
      </c>
      <c r="S17" s="28">
        <v>0.4</v>
      </c>
      <c r="T17" s="29">
        <f t="shared" si="4"/>
        <v>0.30000000000000004</v>
      </c>
      <c r="U17" s="30">
        <v>0.7</v>
      </c>
      <c r="V17" s="31">
        <v>2.9999999999999997E-4</v>
      </c>
      <c r="W17" s="31">
        <v>2.9999999999999997E-4</v>
      </c>
      <c r="X17" s="32">
        <f t="shared" si="5"/>
        <v>72000</v>
      </c>
      <c r="Y17" s="33" t="s">
        <v>97</v>
      </c>
      <c r="Z17" s="34" t="s">
        <v>98</v>
      </c>
    </row>
    <row r="18" spans="2:26" ht="27.75" customHeight="1" x14ac:dyDescent="0.2">
      <c r="B18" s="35" t="s">
        <v>94</v>
      </c>
      <c r="C18" s="36" t="s">
        <v>99</v>
      </c>
      <c r="D18" s="37" t="s">
        <v>100</v>
      </c>
      <c r="E18" s="27" t="s">
        <v>50</v>
      </c>
      <c r="F18" s="28">
        <v>0.03</v>
      </c>
      <c r="G18" s="28">
        <v>0.1</v>
      </c>
      <c r="H18" s="29">
        <f t="shared" si="0"/>
        <v>6.5000000000000002E-2</v>
      </c>
      <c r="I18" s="28">
        <v>0.02</v>
      </c>
      <c r="J18" s="28">
        <v>0.08</v>
      </c>
      <c r="K18" s="29">
        <f t="shared" si="1"/>
        <v>0.05</v>
      </c>
      <c r="L18" s="28">
        <v>0.05</v>
      </c>
      <c r="M18" s="28">
        <v>0.15</v>
      </c>
      <c r="N18" s="29">
        <f t="shared" si="2"/>
        <v>0.1</v>
      </c>
      <c r="O18" s="28">
        <v>0.05</v>
      </c>
      <c r="P18" s="28">
        <v>0.12</v>
      </c>
      <c r="Q18" s="29">
        <f t="shared" si="3"/>
        <v>8.4999999999999992E-2</v>
      </c>
      <c r="R18" s="28">
        <v>0.15</v>
      </c>
      <c r="S18" s="28">
        <v>0.3</v>
      </c>
      <c r="T18" s="29">
        <f t="shared" si="4"/>
        <v>0.22499999999999998</v>
      </c>
      <c r="U18" s="30">
        <v>0.6</v>
      </c>
      <c r="V18" s="31">
        <v>4.0000000000000002E-4</v>
      </c>
      <c r="W18" s="31">
        <v>5.0000000000000001E-4</v>
      </c>
      <c r="X18" s="32">
        <f t="shared" si="5"/>
        <v>108000</v>
      </c>
      <c r="Y18" s="33" t="s">
        <v>101</v>
      </c>
      <c r="Z18" s="38" t="s">
        <v>102</v>
      </c>
    </row>
    <row r="19" spans="2:26" ht="27.75" customHeight="1" x14ac:dyDescent="0.2">
      <c r="B19" s="24" t="s">
        <v>103</v>
      </c>
      <c r="C19" s="25" t="s">
        <v>104</v>
      </c>
      <c r="D19" s="26" t="s">
        <v>105</v>
      </c>
      <c r="E19" s="27" t="s">
        <v>55</v>
      </c>
      <c r="F19" s="28">
        <v>0.05</v>
      </c>
      <c r="G19" s="28">
        <v>0.15</v>
      </c>
      <c r="H19" s="29">
        <f t="shared" si="0"/>
        <v>0.05</v>
      </c>
      <c r="I19" s="28">
        <v>0.03</v>
      </c>
      <c r="J19" s="28">
        <v>0.1</v>
      </c>
      <c r="K19" s="29">
        <f t="shared" si="1"/>
        <v>3.2500000000000001E-2</v>
      </c>
      <c r="L19" s="28">
        <v>0.08</v>
      </c>
      <c r="M19" s="28">
        <v>0.18</v>
      </c>
      <c r="N19" s="29">
        <f t="shared" si="2"/>
        <v>6.5000000000000002E-2</v>
      </c>
      <c r="O19" s="28">
        <v>0.1</v>
      </c>
      <c r="P19" s="28">
        <v>0.25</v>
      </c>
      <c r="Q19" s="29">
        <f t="shared" si="3"/>
        <v>8.7499999999999994E-2</v>
      </c>
      <c r="R19" s="28">
        <v>0.05</v>
      </c>
      <c r="S19" s="28">
        <v>0.12</v>
      </c>
      <c r="T19" s="29">
        <f t="shared" si="4"/>
        <v>4.2499999999999996E-2</v>
      </c>
      <c r="U19" s="30">
        <v>0.7</v>
      </c>
      <c r="V19" s="31">
        <v>1.5E-3</v>
      </c>
      <c r="W19" s="31">
        <v>2E-3</v>
      </c>
      <c r="X19" s="32">
        <f t="shared" si="5"/>
        <v>252000</v>
      </c>
      <c r="Y19" s="33" t="s">
        <v>106</v>
      </c>
      <c r="Z19" s="34" t="s">
        <v>107</v>
      </c>
    </row>
    <row r="20" spans="2:26" ht="27.75" customHeight="1" x14ac:dyDescent="0.2">
      <c r="B20" s="35" t="s">
        <v>108</v>
      </c>
      <c r="C20" s="36" t="s">
        <v>109</v>
      </c>
      <c r="D20" s="37" t="s">
        <v>110</v>
      </c>
      <c r="E20" s="27" t="s">
        <v>69</v>
      </c>
      <c r="F20" s="28">
        <v>0.35</v>
      </c>
      <c r="G20" s="28">
        <v>0.6</v>
      </c>
      <c r="H20" s="29">
        <f t="shared" si="0"/>
        <v>0</v>
      </c>
      <c r="I20" s="28">
        <v>0.15</v>
      </c>
      <c r="J20" s="28">
        <v>0.3</v>
      </c>
      <c r="K20" s="29">
        <f t="shared" si="1"/>
        <v>0</v>
      </c>
      <c r="L20" s="28">
        <v>0.3</v>
      </c>
      <c r="M20" s="28">
        <v>0.55000000000000004</v>
      </c>
      <c r="N20" s="29">
        <f t="shared" si="2"/>
        <v>0</v>
      </c>
      <c r="O20" s="28">
        <v>0.2</v>
      </c>
      <c r="P20" s="28">
        <v>0.4</v>
      </c>
      <c r="Q20" s="29">
        <f t="shared" si="3"/>
        <v>0</v>
      </c>
      <c r="R20" s="28">
        <v>0.3</v>
      </c>
      <c r="S20" s="28">
        <v>0.6</v>
      </c>
      <c r="T20" s="29">
        <f t="shared" si="4"/>
        <v>0</v>
      </c>
      <c r="U20" s="30">
        <v>1</v>
      </c>
      <c r="V20" s="31">
        <v>4.0000000000000001E-3</v>
      </c>
      <c r="W20" s="31">
        <v>8.0000000000000002E-3</v>
      </c>
      <c r="X20" s="32">
        <f t="shared" si="5"/>
        <v>0</v>
      </c>
      <c r="Y20" s="33" t="s">
        <v>111</v>
      </c>
      <c r="Z20" s="38" t="s">
        <v>112</v>
      </c>
    </row>
    <row r="21" spans="2:26" ht="7.5" customHeight="1" x14ac:dyDescent="0.2"/>
    <row r="22" spans="2:26" ht="31.5" customHeight="1" x14ac:dyDescent="0.2">
      <c r="B22" s="74" t="s">
        <v>113</v>
      </c>
      <c r="C22" s="74"/>
      <c r="D22" s="74"/>
      <c r="E22" s="39"/>
      <c r="F22" s="39"/>
      <c r="G22" s="39"/>
      <c r="H22" s="40">
        <f>IFERROR(SUMPRODUCT((H7:H20)*(U7:U20)*((E7:E20&lt;&gt;"Nein")*1))/SUMPRODUCT((U7:U20)*((E7:E20&lt;&gt;"Nein")*1)),0)</f>
        <v>0.10630952380952381</v>
      </c>
      <c r="I22" s="39"/>
      <c r="J22" s="39"/>
      <c r="K22" s="40">
        <f>IFERROR(SUMPRODUCT((K7:K20)*(U7:U20)*((E7:E20&lt;&gt;"Nein")*1))/SUMPRODUCT((U7:U20)*((E7:E20&lt;&gt;"Nein")*1)),0)</f>
        <v>5.1587301587301591E-2</v>
      </c>
      <c r="L22" s="39"/>
      <c r="M22" s="39"/>
      <c r="N22" s="40">
        <f>IFERROR(SUMPRODUCT((N7:N20)*(U7:U20)*((E7:E20&lt;&gt;"Nein")*1))/SUMPRODUCT((U7:U20)*((E7:E20&lt;&gt;"Nein")*1)),0)</f>
        <v>8.1904761904761925E-2</v>
      </c>
      <c r="O22" s="39"/>
      <c r="P22" s="39"/>
      <c r="Q22" s="40">
        <f>IFERROR(SUMPRODUCT((Q7:Q20)*(U7:U20)*((E7:E20&lt;&gt;"Nein")*1))/SUMPRODUCT((U7:U20)*((E7:E20&lt;&gt;"Nein")*1)),0)</f>
        <v>8.099206349206349E-2</v>
      </c>
      <c r="R22" s="39"/>
      <c r="S22" s="39"/>
      <c r="T22" s="40">
        <f>IFERROR(SUMPRODUCT((T7:T20)*(U7:U20)*((E7:E20&lt;&gt;"Nein")*1))/SUMPRODUCT((U7:U20)*((E7:E20&lt;&gt;"Nein")*1)),0)</f>
        <v>0.1071031746031746</v>
      </c>
      <c r="U22" s="39"/>
      <c r="V22" s="75" t="s">
        <v>114</v>
      </c>
      <c r="W22" s="75"/>
      <c r="X22" s="41">
        <f>IFERROR(SUM(X7:X20),0)</f>
        <v>1663200</v>
      </c>
      <c r="Y22" s="42">
        <f>IFERROR(X22/Bausumme,0)</f>
        <v>1.3860000000000001E-2</v>
      </c>
      <c r="Z22" s="43" t="s">
        <v>115</v>
      </c>
    </row>
  </sheetData>
  <mergeCells count="11">
    <mergeCell ref="B22:D22"/>
    <mergeCell ref="V22:W22"/>
    <mergeCell ref="B2:Z2"/>
    <mergeCell ref="B3:Z3"/>
    <mergeCell ref="B5:D5"/>
    <mergeCell ref="F5:H5"/>
    <mergeCell ref="I5:K5"/>
    <mergeCell ref="L5:N5"/>
    <mergeCell ref="O5:Q5"/>
    <mergeCell ref="R5:T5"/>
    <mergeCell ref="V5:Y5"/>
  </mergeCells>
  <conditionalFormatting sqref="E7:E20">
    <cfRule type="cellIs" dxfId="5" priority="2" operator="equal">
      <formula>"Ja"</formula>
    </cfRule>
    <cfRule type="cellIs" dxfId="4" priority="3" operator="equal">
      <formula>"Teilweise"</formula>
    </cfRule>
    <cfRule type="cellIs" dxfId="3" priority="4" operator="equal">
      <formula>"Nein"</formula>
    </cfRule>
  </conditionalFormatting>
  <conditionalFormatting sqref="H7:H20">
    <cfRule type="colorScale" priority="5">
      <colorScale>
        <cfvo type="num" val="0"/>
        <cfvo type="num" val="0.15"/>
        <cfvo type="num" val="0.5"/>
        <color rgb="FFFFCCCC"/>
        <color rgb="FFFFFF99"/>
        <color rgb="FF92D050"/>
      </colorScale>
    </cfRule>
  </conditionalFormatting>
  <conditionalFormatting sqref="K7:K20">
    <cfRule type="colorScale" priority="6">
      <colorScale>
        <cfvo type="num" val="0"/>
        <cfvo type="num" val="0.15"/>
        <cfvo type="num" val="0.5"/>
        <color rgb="FFFFCCCC"/>
        <color rgb="FFFFFF99"/>
        <color rgb="FF92D050"/>
      </colorScale>
    </cfRule>
  </conditionalFormatting>
  <conditionalFormatting sqref="N7:N20">
    <cfRule type="colorScale" priority="7">
      <colorScale>
        <cfvo type="num" val="0"/>
        <cfvo type="num" val="0.15"/>
        <cfvo type="num" val="0.5"/>
        <color rgb="FFFFCCCC"/>
        <color rgb="FFFFFF99"/>
        <color rgb="FF92D050"/>
      </colorScale>
    </cfRule>
  </conditionalFormatting>
  <conditionalFormatting sqref="Q7:Q20">
    <cfRule type="colorScale" priority="8">
      <colorScale>
        <cfvo type="num" val="0"/>
        <cfvo type="num" val="0.15"/>
        <cfvo type="num" val="0.5"/>
        <color rgb="FFFFCCCC"/>
        <color rgb="FFFFFF99"/>
        <color rgb="FF92D050"/>
      </colorScale>
    </cfRule>
  </conditionalFormatting>
  <conditionalFormatting sqref="T7:T20">
    <cfRule type="colorScale" priority="9">
      <colorScale>
        <cfvo type="num" val="0"/>
        <cfvo type="num" val="0.15"/>
        <cfvo type="num" val="0.5"/>
        <color rgb="FFFFCCCC"/>
        <color rgb="FFFFFF99"/>
        <color rgb="FF92D050"/>
      </colorScale>
    </cfRule>
  </conditionalFormatting>
  <conditionalFormatting sqref="X7:X20">
    <cfRule type="colorScale" priority="10">
      <colorScale>
        <cfvo type="min"/>
        <cfvo type="max"/>
        <color rgb="FFFFFFFF"/>
        <color rgb="FFB8D4E8"/>
      </colorScale>
    </cfRule>
  </conditionalFormatting>
  <dataValidations count="1">
    <dataValidation type="list" errorTitle="Ungültige Eingabe" error="Bitte Ja, Teilweise oder Nein auswählen" sqref="E7:E20" xr:uid="{00000000-0002-0000-0100-000000000000}">
      <formula1>"Ja,Teilweise,Nein"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9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2" customWidth="1"/>
    <col min="2" max="2" width="26" customWidth="1"/>
    <col min="3" max="3" width="40" customWidth="1"/>
    <col min="4" max="4" width="44" customWidth="1"/>
    <col min="5" max="5" width="13" customWidth="1"/>
    <col min="6" max="7" width="11" customWidth="1"/>
    <col min="8" max="8" width="13" customWidth="1"/>
    <col min="9" max="10" width="11" customWidth="1"/>
    <col min="11" max="11" width="13" customWidth="1"/>
    <col min="12" max="13" width="11" customWidth="1"/>
    <col min="14" max="14" width="13" customWidth="1"/>
    <col min="15" max="16" width="11" customWidth="1"/>
    <col min="17" max="17" width="13" customWidth="1"/>
    <col min="18" max="19" width="11" customWidth="1"/>
    <col min="20" max="20" width="13" customWidth="1"/>
    <col min="21" max="21" width="10" customWidth="1"/>
    <col min="22" max="23" width="13" customWidth="1"/>
    <col min="24" max="24" width="16" customWidth="1"/>
    <col min="25" max="25" width="14" customWidth="1"/>
    <col min="26" max="26" width="30" customWidth="1"/>
  </cols>
  <sheetData>
    <row r="1" spans="2:26" ht="7.5" customHeight="1" x14ac:dyDescent="0.2"/>
    <row r="2" spans="2:26" ht="37.5" customHeight="1" x14ac:dyDescent="0.2">
      <c r="B2" s="1" t="s">
        <v>116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19.5" customHeight="1" x14ac:dyDescent="0.2">
      <c r="B3" s="70" t="s">
        <v>23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2:26" ht="7.5" customHeight="1" x14ac:dyDescent="0.2"/>
    <row r="5" spans="2:26" ht="21.75" customHeight="1" x14ac:dyDescent="0.2">
      <c r="B5" s="71" t="s">
        <v>24</v>
      </c>
      <c r="C5" s="71"/>
      <c r="D5" s="71"/>
      <c r="E5" s="18" t="s">
        <v>25</v>
      </c>
      <c r="F5" s="72" t="s">
        <v>26</v>
      </c>
      <c r="G5" s="72"/>
      <c r="H5" s="72"/>
      <c r="I5" s="72" t="s">
        <v>27</v>
      </c>
      <c r="J5" s="72"/>
      <c r="K5" s="72"/>
      <c r="L5" s="72" t="s">
        <v>28</v>
      </c>
      <c r="M5" s="72"/>
      <c r="N5" s="72"/>
      <c r="O5" s="72" t="s">
        <v>29</v>
      </c>
      <c r="P5" s="72"/>
      <c r="Q5" s="72"/>
      <c r="R5" s="72" t="s">
        <v>30</v>
      </c>
      <c r="S5" s="72"/>
      <c r="T5" s="72"/>
      <c r="U5" s="18" t="s">
        <v>31</v>
      </c>
      <c r="V5" s="73" t="s">
        <v>32</v>
      </c>
      <c r="W5" s="73"/>
      <c r="X5" s="73"/>
      <c r="Y5" s="73"/>
      <c r="Z5" s="18" t="s">
        <v>33</v>
      </c>
    </row>
    <row r="6" spans="2:26" ht="31.5" customHeight="1" x14ac:dyDescent="0.2">
      <c r="B6" s="19" t="s">
        <v>34</v>
      </c>
      <c r="C6" s="19" t="s">
        <v>35</v>
      </c>
      <c r="D6" s="19" t="s">
        <v>36</v>
      </c>
      <c r="E6" s="20" t="s">
        <v>37</v>
      </c>
      <c r="F6" s="21" t="s">
        <v>38</v>
      </c>
      <c r="G6" s="21" t="s">
        <v>39</v>
      </c>
      <c r="H6" s="22" t="s">
        <v>40</v>
      </c>
      <c r="I6" s="21" t="s">
        <v>38</v>
      </c>
      <c r="J6" s="21" t="s">
        <v>39</v>
      </c>
      <c r="K6" s="22" t="s">
        <v>40</v>
      </c>
      <c r="L6" s="21" t="s">
        <v>38</v>
      </c>
      <c r="M6" s="21" t="s">
        <v>39</v>
      </c>
      <c r="N6" s="22" t="s">
        <v>40</v>
      </c>
      <c r="O6" s="21" t="s">
        <v>38</v>
      </c>
      <c r="P6" s="21" t="s">
        <v>39</v>
      </c>
      <c r="Q6" s="22" t="s">
        <v>40</v>
      </c>
      <c r="R6" s="21" t="s">
        <v>38</v>
      </c>
      <c r="S6" s="21" t="s">
        <v>39</v>
      </c>
      <c r="T6" s="22" t="s">
        <v>40</v>
      </c>
      <c r="U6" s="19" t="s">
        <v>41</v>
      </c>
      <c r="V6" s="23" t="s">
        <v>42</v>
      </c>
      <c r="W6" s="23" t="s">
        <v>43</v>
      </c>
      <c r="X6" s="23" t="s">
        <v>44</v>
      </c>
      <c r="Y6" s="23" t="s">
        <v>45</v>
      </c>
      <c r="Z6" s="19" t="s">
        <v>46</v>
      </c>
    </row>
    <row r="7" spans="2:26" ht="27.75" customHeight="1" x14ac:dyDescent="0.2">
      <c r="B7" s="24" t="s">
        <v>117</v>
      </c>
      <c r="C7" s="25" t="s">
        <v>118</v>
      </c>
      <c r="D7" s="26" t="s">
        <v>119</v>
      </c>
      <c r="E7" s="27" t="s">
        <v>50</v>
      </c>
      <c r="F7" s="28">
        <v>0.05</v>
      </c>
      <c r="G7" s="28">
        <v>0.15</v>
      </c>
      <c r="H7" s="29">
        <f t="shared" ref="H7:H17" si="0">IF(E7="Ja",(F7+G7)/2,IF(E7="Teilweise",(F7+G7)/4,0))</f>
        <v>0.1</v>
      </c>
      <c r="I7" s="28">
        <v>0.05</v>
      </c>
      <c r="J7" s="28">
        <v>0.12</v>
      </c>
      <c r="K7" s="29">
        <f t="shared" ref="K7:K17" si="1">IF(E7="Ja",(I7+J7)/2,IF(E7="Teilweise",(I7+J7)/4,0))</f>
        <v>8.4999999999999992E-2</v>
      </c>
      <c r="L7" s="28">
        <v>0.08</v>
      </c>
      <c r="M7" s="28">
        <v>0.18</v>
      </c>
      <c r="N7" s="29">
        <f t="shared" ref="N7:N17" si="2">IF(E7="Ja",(L7+M7)/2,IF(E7="Teilweise",(L7+M7)/4,0))</f>
        <v>0.13</v>
      </c>
      <c r="O7" s="28">
        <v>0.08</v>
      </c>
      <c r="P7" s="28">
        <v>0.18</v>
      </c>
      <c r="Q7" s="29">
        <f t="shared" ref="Q7:Q17" si="3">IF(E7="Ja",(O7+P7)/2,IF(E7="Teilweise",(O7+P7)/4,0))</f>
        <v>0.13</v>
      </c>
      <c r="R7" s="28">
        <v>0.05</v>
      </c>
      <c r="S7" s="28">
        <v>0.12</v>
      </c>
      <c r="T7" s="29">
        <f t="shared" ref="T7:T17" si="4">IF(E7="Ja",(R7+S7)/2,IF(E7="Teilweise",(R7+S7)/4,0))</f>
        <v>8.4999999999999992E-2</v>
      </c>
      <c r="U7" s="30">
        <v>0.8</v>
      </c>
      <c r="V7" s="31">
        <v>4.0000000000000002E-4</v>
      </c>
      <c r="W7" s="31">
        <v>2.9999999999999997E-4</v>
      </c>
      <c r="X7" s="32">
        <f t="shared" ref="X7:X17" si="5">IFERROR(IF(E7="Ja",(V7+W7)*Bausumme,IF(E7="Teilweise",(V7+W7)*Bausumme*0.6,0)),0)</f>
        <v>84000</v>
      </c>
      <c r="Y7" s="33" t="s">
        <v>120</v>
      </c>
      <c r="Z7" s="34" t="s">
        <v>121</v>
      </c>
    </row>
    <row r="8" spans="2:26" ht="27.75" customHeight="1" x14ac:dyDescent="0.2">
      <c r="B8" s="35" t="s">
        <v>117</v>
      </c>
      <c r="C8" s="36" t="s">
        <v>122</v>
      </c>
      <c r="D8" s="37" t="s">
        <v>123</v>
      </c>
      <c r="E8" s="27" t="s">
        <v>50</v>
      </c>
      <c r="F8" s="28">
        <v>0.05</v>
      </c>
      <c r="G8" s="28">
        <v>0.12</v>
      </c>
      <c r="H8" s="29">
        <f t="shared" si="0"/>
        <v>8.4999999999999992E-2</v>
      </c>
      <c r="I8" s="28">
        <v>0.05</v>
      </c>
      <c r="J8" s="28">
        <v>0.12</v>
      </c>
      <c r="K8" s="29">
        <f t="shared" si="1"/>
        <v>8.4999999999999992E-2</v>
      </c>
      <c r="L8" s="28">
        <v>0.05</v>
      </c>
      <c r="M8" s="28">
        <v>0.14000000000000001</v>
      </c>
      <c r="N8" s="29">
        <f t="shared" si="2"/>
        <v>9.5000000000000001E-2</v>
      </c>
      <c r="O8" s="28">
        <v>0.05</v>
      </c>
      <c r="P8" s="28">
        <v>0.14000000000000001</v>
      </c>
      <c r="Q8" s="29">
        <f t="shared" si="3"/>
        <v>9.5000000000000001E-2</v>
      </c>
      <c r="R8" s="28">
        <v>0.03</v>
      </c>
      <c r="S8" s="28">
        <v>0.08</v>
      </c>
      <c r="T8" s="29">
        <f t="shared" si="4"/>
        <v>5.5E-2</v>
      </c>
      <c r="U8" s="30">
        <v>0.7</v>
      </c>
      <c r="V8" s="31">
        <v>5.0000000000000001E-4</v>
      </c>
      <c r="W8" s="31">
        <v>4.0000000000000002E-4</v>
      </c>
      <c r="X8" s="32">
        <f t="shared" si="5"/>
        <v>108000</v>
      </c>
      <c r="Y8" s="33" t="s">
        <v>124</v>
      </c>
      <c r="Z8" s="38" t="s">
        <v>125</v>
      </c>
    </row>
    <row r="9" spans="2:26" ht="27.75" customHeight="1" x14ac:dyDescent="0.2">
      <c r="B9" s="24" t="s">
        <v>117</v>
      </c>
      <c r="C9" s="25" t="s">
        <v>126</v>
      </c>
      <c r="D9" s="26" t="s">
        <v>127</v>
      </c>
      <c r="E9" s="27" t="s">
        <v>50</v>
      </c>
      <c r="F9" s="28">
        <v>0.08</v>
      </c>
      <c r="G9" s="28">
        <v>0.18</v>
      </c>
      <c r="H9" s="29">
        <f t="shared" si="0"/>
        <v>0.13</v>
      </c>
      <c r="I9" s="28">
        <v>0.03</v>
      </c>
      <c r="J9" s="28">
        <v>0.1</v>
      </c>
      <c r="K9" s="29">
        <f t="shared" si="1"/>
        <v>6.5000000000000002E-2</v>
      </c>
      <c r="L9" s="28">
        <v>0.06</v>
      </c>
      <c r="M9" s="28">
        <v>0.14000000000000001</v>
      </c>
      <c r="N9" s="29">
        <f t="shared" si="2"/>
        <v>0.1</v>
      </c>
      <c r="O9" s="28">
        <v>0.06</v>
      </c>
      <c r="P9" s="28">
        <v>0.15</v>
      </c>
      <c r="Q9" s="29">
        <f t="shared" si="3"/>
        <v>0.105</v>
      </c>
      <c r="R9" s="28">
        <v>0.05</v>
      </c>
      <c r="S9" s="28">
        <v>0.12</v>
      </c>
      <c r="T9" s="29">
        <f t="shared" si="4"/>
        <v>8.4999999999999992E-2</v>
      </c>
      <c r="U9" s="30">
        <v>0.8</v>
      </c>
      <c r="V9" s="31">
        <v>5.0000000000000001E-4</v>
      </c>
      <c r="W9" s="31">
        <v>1.1999999999999999E-3</v>
      </c>
      <c r="X9" s="32">
        <f t="shared" si="5"/>
        <v>204000</v>
      </c>
      <c r="Y9" s="33" t="s">
        <v>128</v>
      </c>
      <c r="Z9" s="34" t="s">
        <v>129</v>
      </c>
    </row>
    <row r="10" spans="2:26" ht="27.75" customHeight="1" x14ac:dyDescent="0.2">
      <c r="B10" s="35" t="s">
        <v>130</v>
      </c>
      <c r="C10" s="36" t="s">
        <v>131</v>
      </c>
      <c r="D10" s="37" t="s">
        <v>132</v>
      </c>
      <c r="E10" s="27" t="s">
        <v>69</v>
      </c>
      <c r="F10" s="28">
        <v>0.03</v>
      </c>
      <c r="G10" s="28">
        <v>0.08</v>
      </c>
      <c r="H10" s="29">
        <f t="shared" si="0"/>
        <v>0</v>
      </c>
      <c r="I10" s="28">
        <v>0.08</v>
      </c>
      <c r="J10" s="28">
        <v>0.18</v>
      </c>
      <c r="K10" s="29">
        <f t="shared" si="1"/>
        <v>0</v>
      </c>
      <c r="L10" s="28">
        <v>0.05</v>
      </c>
      <c r="M10" s="28">
        <v>0.12</v>
      </c>
      <c r="N10" s="29">
        <f t="shared" si="2"/>
        <v>0</v>
      </c>
      <c r="O10" s="28">
        <v>0.05</v>
      </c>
      <c r="P10" s="28">
        <v>0.12</v>
      </c>
      <c r="Q10" s="29">
        <f t="shared" si="3"/>
        <v>0</v>
      </c>
      <c r="R10" s="28">
        <v>0.03</v>
      </c>
      <c r="S10" s="28">
        <v>0.08</v>
      </c>
      <c r="T10" s="29">
        <f t="shared" si="4"/>
        <v>0</v>
      </c>
      <c r="U10" s="30">
        <v>0.7</v>
      </c>
      <c r="V10" s="31">
        <v>4.0000000000000002E-4</v>
      </c>
      <c r="W10" s="31">
        <v>5.0000000000000001E-4</v>
      </c>
      <c r="X10" s="32">
        <f t="shared" si="5"/>
        <v>0</v>
      </c>
      <c r="Y10" s="33" t="s">
        <v>133</v>
      </c>
      <c r="Z10" s="38" t="s">
        <v>134</v>
      </c>
    </row>
    <row r="11" spans="2:26" ht="27.75" customHeight="1" x14ac:dyDescent="0.2">
      <c r="B11" s="24" t="s">
        <v>130</v>
      </c>
      <c r="C11" s="25" t="s">
        <v>135</v>
      </c>
      <c r="D11" s="26" t="s">
        <v>136</v>
      </c>
      <c r="E11" s="27" t="s">
        <v>69</v>
      </c>
      <c r="F11" s="28">
        <v>0.08</v>
      </c>
      <c r="G11" s="28">
        <v>0.18</v>
      </c>
      <c r="H11" s="29">
        <f t="shared" si="0"/>
        <v>0</v>
      </c>
      <c r="I11" s="28">
        <v>0.1</v>
      </c>
      <c r="J11" s="28">
        <v>0.22</v>
      </c>
      <c r="K11" s="29">
        <f t="shared" si="1"/>
        <v>0</v>
      </c>
      <c r="L11" s="28">
        <v>0.15</v>
      </c>
      <c r="M11" s="28">
        <v>0.3</v>
      </c>
      <c r="N11" s="29">
        <f t="shared" si="2"/>
        <v>0</v>
      </c>
      <c r="O11" s="28">
        <v>0.1</v>
      </c>
      <c r="P11" s="28">
        <v>0.22</v>
      </c>
      <c r="Q11" s="29">
        <f t="shared" si="3"/>
        <v>0</v>
      </c>
      <c r="R11" s="28">
        <v>0.1</v>
      </c>
      <c r="S11" s="28">
        <v>0.22</v>
      </c>
      <c r="T11" s="29">
        <f t="shared" si="4"/>
        <v>0</v>
      </c>
      <c r="U11" s="30">
        <v>1</v>
      </c>
      <c r="V11" s="31">
        <v>2E-3</v>
      </c>
      <c r="W11" s="31">
        <v>3.0000000000000001E-3</v>
      </c>
      <c r="X11" s="32">
        <f t="shared" si="5"/>
        <v>0</v>
      </c>
      <c r="Y11" s="33" t="s">
        <v>137</v>
      </c>
      <c r="Z11" s="34" t="s">
        <v>138</v>
      </c>
    </row>
    <row r="12" spans="2:26" ht="27.75" customHeight="1" x14ac:dyDescent="0.2">
      <c r="B12" s="35" t="s">
        <v>139</v>
      </c>
      <c r="C12" s="36" t="s">
        <v>140</v>
      </c>
      <c r="D12" s="37" t="s">
        <v>141</v>
      </c>
      <c r="E12" s="27" t="s">
        <v>55</v>
      </c>
      <c r="F12" s="28">
        <v>0.05</v>
      </c>
      <c r="G12" s="28">
        <v>0.12</v>
      </c>
      <c r="H12" s="29">
        <f t="shared" si="0"/>
        <v>4.2499999999999996E-2</v>
      </c>
      <c r="I12" s="28">
        <v>0.03</v>
      </c>
      <c r="J12" s="28">
        <v>0.08</v>
      </c>
      <c r="K12" s="29">
        <f t="shared" si="1"/>
        <v>2.75E-2</v>
      </c>
      <c r="L12" s="28">
        <v>0.08</v>
      </c>
      <c r="M12" s="28">
        <v>0.18</v>
      </c>
      <c r="N12" s="29">
        <f t="shared" si="2"/>
        <v>6.5000000000000002E-2</v>
      </c>
      <c r="O12" s="28">
        <v>0.12</v>
      </c>
      <c r="P12" s="28">
        <v>0.25</v>
      </c>
      <c r="Q12" s="29">
        <f t="shared" si="3"/>
        <v>9.2499999999999999E-2</v>
      </c>
      <c r="R12" s="28">
        <v>0.05</v>
      </c>
      <c r="S12" s="28">
        <v>0.12</v>
      </c>
      <c r="T12" s="29">
        <f t="shared" si="4"/>
        <v>4.2499999999999996E-2</v>
      </c>
      <c r="U12" s="30">
        <v>0.8</v>
      </c>
      <c r="V12" s="31">
        <v>1.1999999999999999E-3</v>
      </c>
      <c r="W12" s="31">
        <v>1.8E-3</v>
      </c>
      <c r="X12" s="32">
        <f t="shared" si="5"/>
        <v>216000</v>
      </c>
      <c r="Y12" s="33" t="s">
        <v>142</v>
      </c>
      <c r="Z12" s="38" t="s">
        <v>143</v>
      </c>
    </row>
    <row r="13" spans="2:26" ht="27.75" customHeight="1" x14ac:dyDescent="0.2">
      <c r="B13" s="24" t="s">
        <v>139</v>
      </c>
      <c r="C13" s="25" t="s">
        <v>144</v>
      </c>
      <c r="D13" s="26" t="s">
        <v>145</v>
      </c>
      <c r="E13" s="27" t="s">
        <v>50</v>
      </c>
      <c r="F13" s="28">
        <v>0.08</v>
      </c>
      <c r="G13" s="28">
        <v>0.18</v>
      </c>
      <c r="H13" s="29">
        <f t="shared" si="0"/>
        <v>0.13</v>
      </c>
      <c r="I13" s="28">
        <v>0.03</v>
      </c>
      <c r="J13" s="28">
        <v>0.08</v>
      </c>
      <c r="K13" s="29">
        <f t="shared" si="1"/>
        <v>5.5E-2</v>
      </c>
      <c r="L13" s="28">
        <v>0.08</v>
      </c>
      <c r="M13" s="28">
        <v>0.16</v>
      </c>
      <c r="N13" s="29">
        <f t="shared" si="2"/>
        <v>0.12</v>
      </c>
      <c r="O13" s="28">
        <v>0.08</v>
      </c>
      <c r="P13" s="28">
        <v>0.18</v>
      </c>
      <c r="Q13" s="29">
        <f t="shared" si="3"/>
        <v>0.13</v>
      </c>
      <c r="R13" s="28">
        <v>0.05</v>
      </c>
      <c r="S13" s="28">
        <v>0.12</v>
      </c>
      <c r="T13" s="29">
        <f t="shared" si="4"/>
        <v>8.4999999999999992E-2</v>
      </c>
      <c r="U13" s="30">
        <v>0.7</v>
      </c>
      <c r="V13" s="31">
        <v>2.9999999999999997E-4</v>
      </c>
      <c r="W13" s="31">
        <v>1.1999999999999999E-3</v>
      </c>
      <c r="X13" s="32">
        <f t="shared" si="5"/>
        <v>179999.99999999997</v>
      </c>
      <c r="Y13" s="33" t="s">
        <v>146</v>
      </c>
      <c r="Z13" s="34" t="s">
        <v>147</v>
      </c>
    </row>
    <row r="14" spans="2:26" ht="27.75" customHeight="1" x14ac:dyDescent="0.2">
      <c r="B14" s="35" t="s">
        <v>139</v>
      </c>
      <c r="C14" s="36" t="s">
        <v>148</v>
      </c>
      <c r="D14" s="37" t="s">
        <v>149</v>
      </c>
      <c r="E14" s="27" t="s">
        <v>55</v>
      </c>
      <c r="F14" s="28">
        <v>0.05</v>
      </c>
      <c r="G14" s="28">
        <v>0.15</v>
      </c>
      <c r="H14" s="29">
        <f t="shared" si="0"/>
        <v>0.05</v>
      </c>
      <c r="I14" s="28">
        <v>0.03</v>
      </c>
      <c r="J14" s="28">
        <v>0.08</v>
      </c>
      <c r="K14" s="29">
        <f t="shared" si="1"/>
        <v>2.75E-2</v>
      </c>
      <c r="L14" s="28">
        <v>0.05</v>
      </c>
      <c r="M14" s="28">
        <v>0.12</v>
      </c>
      <c r="N14" s="29">
        <f t="shared" si="2"/>
        <v>4.2499999999999996E-2</v>
      </c>
      <c r="O14" s="28">
        <v>0.08</v>
      </c>
      <c r="P14" s="28">
        <v>0.18</v>
      </c>
      <c r="Q14" s="29">
        <f t="shared" si="3"/>
        <v>6.5000000000000002E-2</v>
      </c>
      <c r="R14" s="28">
        <v>0.08</v>
      </c>
      <c r="S14" s="28">
        <v>0.18</v>
      </c>
      <c r="T14" s="29">
        <f t="shared" si="4"/>
        <v>6.5000000000000002E-2</v>
      </c>
      <c r="U14" s="30">
        <v>0.6</v>
      </c>
      <c r="V14" s="31">
        <v>5.0000000000000001E-4</v>
      </c>
      <c r="W14" s="31">
        <v>2.5000000000000001E-3</v>
      </c>
      <c r="X14" s="32">
        <f t="shared" si="5"/>
        <v>216000</v>
      </c>
      <c r="Y14" s="33" t="s">
        <v>60</v>
      </c>
      <c r="Z14" s="38" t="s">
        <v>150</v>
      </c>
    </row>
    <row r="15" spans="2:26" ht="27.75" customHeight="1" x14ac:dyDescent="0.2">
      <c r="B15" s="24" t="s">
        <v>151</v>
      </c>
      <c r="C15" s="25" t="s">
        <v>152</v>
      </c>
      <c r="D15" s="26" t="s">
        <v>153</v>
      </c>
      <c r="E15" s="27" t="s">
        <v>50</v>
      </c>
      <c r="F15" s="28">
        <v>0.05</v>
      </c>
      <c r="G15" s="28">
        <v>0.12</v>
      </c>
      <c r="H15" s="29">
        <f t="shared" si="0"/>
        <v>8.4999999999999992E-2</v>
      </c>
      <c r="I15" s="28">
        <v>0.03</v>
      </c>
      <c r="J15" s="28">
        <v>0.08</v>
      </c>
      <c r="K15" s="29">
        <f t="shared" si="1"/>
        <v>5.5E-2</v>
      </c>
      <c r="L15" s="28">
        <v>0.05</v>
      </c>
      <c r="M15" s="28">
        <v>0.12</v>
      </c>
      <c r="N15" s="29">
        <f t="shared" si="2"/>
        <v>8.4999999999999992E-2</v>
      </c>
      <c r="O15" s="28">
        <v>0.05</v>
      </c>
      <c r="P15" s="28">
        <v>0.14000000000000001</v>
      </c>
      <c r="Q15" s="29">
        <f t="shared" si="3"/>
        <v>9.5000000000000001E-2</v>
      </c>
      <c r="R15" s="28">
        <v>0.03</v>
      </c>
      <c r="S15" s="28">
        <v>0.08</v>
      </c>
      <c r="T15" s="29">
        <f t="shared" si="4"/>
        <v>5.5E-2</v>
      </c>
      <c r="U15" s="30">
        <v>0.6</v>
      </c>
      <c r="V15" s="31">
        <v>4.0000000000000002E-4</v>
      </c>
      <c r="W15" s="31">
        <v>2.0000000000000001E-4</v>
      </c>
      <c r="X15" s="32">
        <f t="shared" si="5"/>
        <v>72000</v>
      </c>
      <c r="Y15" s="33" t="s">
        <v>154</v>
      </c>
      <c r="Z15" s="34" t="s">
        <v>155</v>
      </c>
    </row>
    <row r="16" spans="2:26" ht="27.75" customHeight="1" x14ac:dyDescent="0.2">
      <c r="B16" s="35" t="s">
        <v>151</v>
      </c>
      <c r="C16" s="36" t="s">
        <v>156</v>
      </c>
      <c r="D16" s="37" t="s">
        <v>157</v>
      </c>
      <c r="E16" s="27" t="s">
        <v>55</v>
      </c>
      <c r="F16" s="28">
        <v>0.05</v>
      </c>
      <c r="G16" s="28">
        <v>0.12</v>
      </c>
      <c r="H16" s="29">
        <f t="shared" si="0"/>
        <v>4.2499999999999996E-2</v>
      </c>
      <c r="I16" s="28">
        <v>0.02</v>
      </c>
      <c r="J16" s="28">
        <v>0.08</v>
      </c>
      <c r="K16" s="29">
        <f t="shared" si="1"/>
        <v>2.5000000000000001E-2</v>
      </c>
      <c r="L16" s="28">
        <v>0.05</v>
      </c>
      <c r="M16" s="28">
        <v>0.14000000000000001</v>
      </c>
      <c r="N16" s="29">
        <f t="shared" si="2"/>
        <v>4.7500000000000001E-2</v>
      </c>
      <c r="O16" s="28">
        <v>0.05</v>
      </c>
      <c r="P16" s="28">
        <v>0.14000000000000001</v>
      </c>
      <c r="Q16" s="29">
        <f t="shared" si="3"/>
        <v>4.7500000000000001E-2</v>
      </c>
      <c r="R16" s="28">
        <v>0.05</v>
      </c>
      <c r="S16" s="28">
        <v>0.12</v>
      </c>
      <c r="T16" s="29">
        <f t="shared" si="4"/>
        <v>4.2499999999999996E-2</v>
      </c>
      <c r="U16" s="30">
        <v>0.5</v>
      </c>
      <c r="V16" s="31">
        <v>5.9999999999999995E-4</v>
      </c>
      <c r="W16" s="31">
        <v>2.9999999999999997E-4</v>
      </c>
      <c r="X16" s="32">
        <f t="shared" si="5"/>
        <v>64800</v>
      </c>
      <c r="Y16" s="33" t="s">
        <v>158</v>
      </c>
      <c r="Z16" s="38" t="s">
        <v>159</v>
      </c>
    </row>
    <row r="17" spans="2:26" ht="27.75" customHeight="1" x14ac:dyDescent="0.2">
      <c r="B17" s="24" t="s">
        <v>160</v>
      </c>
      <c r="C17" s="25" t="s">
        <v>161</v>
      </c>
      <c r="D17" s="26" t="s">
        <v>162</v>
      </c>
      <c r="E17" s="27" t="s">
        <v>69</v>
      </c>
      <c r="F17" s="28">
        <v>0.3</v>
      </c>
      <c r="G17" s="28">
        <v>0.55000000000000004</v>
      </c>
      <c r="H17" s="29">
        <f t="shared" si="0"/>
        <v>0</v>
      </c>
      <c r="I17" s="28">
        <v>0.12</v>
      </c>
      <c r="J17" s="28">
        <v>0.28000000000000003</v>
      </c>
      <c r="K17" s="29">
        <f t="shared" si="1"/>
        <v>0</v>
      </c>
      <c r="L17" s="28">
        <v>0.25</v>
      </c>
      <c r="M17" s="28">
        <v>0.5</v>
      </c>
      <c r="N17" s="29">
        <f t="shared" si="2"/>
        <v>0</v>
      </c>
      <c r="O17" s="28">
        <v>0.18</v>
      </c>
      <c r="P17" s="28">
        <v>0.38</v>
      </c>
      <c r="Q17" s="29">
        <f t="shared" si="3"/>
        <v>0</v>
      </c>
      <c r="R17" s="28">
        <v>0.25</v>
      </c>
      <c r="S17" s="28">
        <v>0.55000000000000004</v>
      </c>
      <c r="T17" s="29">
        <f t="shared" si="4"/>
        <v>0</v>
      </c>
      <c r="U17" s="30">
        <v>1</v>
      </c>
      <c r="V17" s="31">
        <v>3.5000000000000001E-3</v>
      </c>
      <c r="W17" s="31">
        <v>7.0000000000000001E-3</v>
      </c>
      <c r="X17" s="32">
        <f t="shared" si="5"/>
        <v>0</v>
      </c>
      <c r="Y17" s="33" t="s">
        <v>111</v>
      </c>
      <c r="Z17" s="34" t="s">
        <v>163</v>
      </c>
    </row>
    <row r="18" spans="2:26" ht="7.5" customHeight="1" x14ac:dyDescent="0.2"/>
    <row r="19" spans="2:26" ht="31.5" customHeight="1" x14ac:dyDescent="0.2">
      <c r="B19" s="74" t="s">
        <v>113</v>
      </c>
      <c r="C19" s="74"/>
      <c r="D19" s="74"/>
      <c r="E19" s="39"/>
      <c r="F19" s="39"/>
      <c r="G19" s="39"/>
      <c r="H19" s="40">
        <f>IFERROR(SUMPRODUCT((H7:H17)*(U7:U17)*((E7:E17&lt;&gt;"Nein")*1))/SUMPRODUCT((U7:U17)*((E7:E17&lt;&gt;"Nein")*1)),0)</f>
        <v>8.559090909090912E-2</v>
      </c>
      <c r="I19" s="39"/>
      <c r="J19" s="39"/>
      <c r="K19" s="40">
        <f>IFERROR(SUMPRODUCT((K7:K17)*(U7:U17)*((E7:E17&lt;&gt;"Nein")*1))/SUMPRODUCT((U7:U17)*((E7:E17&lt;&gt;"Nein")*1)),0)</f>
        <v>5.4909090909090914E-2</v>
      </c>
      <c r="L19" s="39"/>
      <c r="M19" s="39"/>
      <c r="N19" s="40">
        <f>IFERROR(SUMPRODUCT((N7:N17)*(U7:U17)*((E7:E17&lt;&gt;"Nein")*1))/SUMPRODUCT((U7:U17)*((E7:E17&lt;&gt;"Nein")*1)),0)</f>
        <v>8.8500000000000009E-2</v>
      </c>
      <c r="O19" s="39"/>
      <c r="P19" s="39"/>
      <c r="Q19" s="40">
        <f>IFERROR(SUMPRODUCT((Q7:Q17)*(U7:U17)*((E7:E17&lt;&gt;"Nein")*1))/SUMPRODUCT((U7:U17)*((E7:E17&lt;&gt;"Nein")*1)),0)</f>
        <v>9.8045454545454561E-2</v>
      </c>
      <c r="R19" s="39"/>
      <c r="S19" s="39"/>
      <c r="T19" s="40">
        <f>IFERROR(SUMPRODUCT((T7:T17)*(U7:U17)*((E7:E17&lt;&gt;"Nein")*1))/SUMPRODUCT((U7:U17)*((E7:E17&lt;&gt;"Nein")*1)),0)</f>
        <v>6.5681818181818188E-2</v>
      </c>
      <c r="U19" s="39"/>
      <c r="V19" s="75" t="s">
        <v>114</v>
      </c>
      <c r="W19" s="75"/>
      <c r="X19" s="41">
        <f>IFERROR(SUM(X7:X17),0)</f>
        <v>1144800</v>
      </c>
      <c r="Y19" s="42">
        <f>IFERROR(X19/Bausumme,0)</f>
        <v>9.5399999999999999E-3</v>
      </c>
      <c r="Z19" s="43" t="s">
        <v>115</v>
      </c>
    </row>
  </sheetData>
  <mergeCells count="11">
    <mergeCell ref="B19:D19"/>
    <mergeCell ref="V19:W19"/>
    <mergeCell ref="B2:Z2"/>
    <mergeCell ref="B3:Z3"/>
    <mergeCell ref="B5:D5"/>
    <mergeCell ref="F5:H5"/>
    <mergeCell ref="I5:K5"/>
    <mergeCell ref="L5:N5"/>
    <mergeCell ref="O5:Q5"/>
    <mergeCell ref="R5:T5"/>
    <mergeCell ref="V5:Y5"/>
  </mergeCells>
  <conditionalFormatting sqref="E7:E17">
    <cfRule type="cellIs" dxfId="2" priority="2" operator="equal">
      <formula>"Ja"</formula>
    </cfRule>
    <cfRule type="cellIs" dxfId="1" priority="3" operator="equal">
      <formula>"Teilweise"</formula>
    </cfRule>
    <cfRule type="cellIs" dxfId="0" priority="4" operator="equal">
      <formula>"Nein"</formula>
    </cfRule>
  </conditionalFormatting>
  <conditionalFormatting sqref="H7:H17">
    <cfRule type="colorScale" priority="5">
      <colorScale>
        <cfvo type="num" val="0"/>
        <cfvo type="num" val="0.15"/>
        <cfvo type="num" val="0.5"/>
        <color rgb="FFFFCCCC"/>
        <color rgb="FFFFFF99"/>
        <color rgb="FF92D050"/>
      </colorScale>
    </cfRule>
  </conditionalFormatting>
  <conditionalFormatting sqref="K7:K17">
    <cfRule type="colorScale" priority="6">
      <colorScale>
        <cfvo type="num" val="0"/>
        <cfvo type="num" val="0.15"/>
        <cfvo type="num" val="0.5"/>
        <color rgb="FFFFCCCC"/>
        <color rgb="FFFFFF99"/>
        <color rgb="FF92D050"/>
      </colorScale>
    </cfRule>
  </conditionalFormatting>
  <conditionalFormatting sqref="N7:N17">
    <cfRule type="colorScale" priority="7">
      <colorScale>
        <cfvo type="num" val="0"/>
        <cfvo type="num" val="0.15"/>
        <cfvo type="num" val="0.5"/>
        <color rgb="FFFFCCCC"/>
        <color rgb="FFFFFF99"/>
        <color rgb="FF92D050"/>
      </colorScale>
    </cfRule>
  </conditionalFormatting>
  <conditionalFormatting sqref="Q7:Q17">
    <cfRule type="colorScale" priority="8">
      <colorScale>
        <cfvo type="num" val="0"/>
        <cfvo type="num" val="0.15"/>
        <cfvo type="num" val="0.5"/>
        <color rgb="FFFFCCCC"/>
        <color rgb="FFFFFF99"/>
        <color rgb="FF92D050"/>
      </colorScale>
    </cfRule>
  </conditionalFormatting>
  <conditionalFormatting sqref="T7:T17">
    <cfRule type="colorScale" priority="9">
      <colorScale>
        <cfvo type="num" val="0"/>
        <cfvo type="num" val="0.15"/>
        <cfvo type="num" val="0.5"/>
        <color rgb="FFFFCCCC"/>
        <color rgb="FFFFFF99"/>
        <color rgb="FF92D050"/>
      </colorScale>
    </cfRule>
  </conditionalFormatting>
  <conditionalFormatting sqref="X7:X17">
    <cfRule type="colorScale" priority="10">
      <colorScale>
        <cfvo type="min"/>
        <cfvo type="max"/>
        <color rgb="FFFFFFFF"/>
        <color rgb="FFB8D4E8"/>
      </colorScale>
    </cfRule>
  </conditionalFormatting>
  <dataValidations count="1">
    <dataValidation type="list" errorTitle="Ungültige Eingabe" error="Bitte Ja, Teilweise oder Nein auswählen" sqref="E7:E17" xr:uid="{00000000-0002-0000-0200-000000000000}">
      <formula1>"Ja,Teilweise,Nein"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3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8" width="18" customWidth="1"/>
    <col min="9" max="10" width="20" customWidth="1"/>
  </cols>
  <sheetData>
    <row r="1" spans="2:10" ht="7.5" customHeight="1" x14ac:dyDescent="0.2"/>
    <row r="2" spans="2:10" ht="37.5" customHeight="1" x14ac:dyDescent="0.2">
      <c r="B2" s="1" t="s">
        <v>164</v>
      </c>
      <c r="C2" s="1"/>
      <c r="D2" s="1"/>
      <c r="E2" s="1"/>
      <c r="F2" s="1"/>
      <c r="G2" s="1"/>
      <c r="H2" s="1"/>
      <c r="I2" s="1"/>
      <c r="J2" s="1"/>
    </row>
    <row r="3" spans="2:10" ht="27.75" customHeight="1" x14ac:dyDescent="0.2">
      <c r="B3" s="76" t="s">
        <v>165</v>
      </c>
      <c r="C3" s="76"/>
      <c r="D3" s="76"/>
      <c r="E3" s="112">
        <f>Bausumme</f>
        <v>120000000</v>
      </c>
      <c r="F3" s="77"/>
      <c r="G3" s="78" t="s">
        <v>166</v>
      </c>
      <c r="H3" s="78"/>
      <c r="I3" s="78"/>
      <c r="J3" s="78"/>
    </row>
    <row r="4" spans="2:10" ht="7.5" customHeight="1" x14ac:dyDescent="0.2"/>
    <row r="5" spans="2:10" ht="25.5" customHeight="1" x14ac:dyDescent="0.2">
      <c r="B5" s="44" t="s">
        <v>167</v>
      </c>
      <c r="C5" s="45" t="s">
        <v>168</v>
      </c>
      <c r="D5" s="45" t="s">
        <v>169</v>
      </c>
      <c r="E5" s="45" t="s">
        <v>170</v>
      </c>
      <c r="F5" s="45" t="s">
        <v>171</v>
      </c>
      <c r="G5" s="45" t="s">
        <v>172</v>
      </c>
      <c r="H5" s="46" t="s">
        <v>173</v>
      </c>
      <c r="I5" s="47" t="s">
        <v>174</v>
      </c>
      <c r="J5" s="47" t="s">
        <v>175</v>
      </c>
    </row>
    <row r="6" spans="2:10" ht="27.75" customHeight="1" x14ac:dyDescent="0.2">
      <c r="B6" s="48" t="s">
        <v>176</v>
      </c>
      <c r="C6" s="108">
        <f>'Bauvertrag (VOB)'!H22</f>
        <v>0.10630952380952381</v>
      </c>
      <c r="D6" s="108">
        <f>'Bauvertrag (VOB)'!K22</f>
        <v>5.1587301587301591E-2</v>
      </c>
      <c r="E6" s="108">
        <f>'Bauvertrag (VOB)'!N22</f>
        <v>8.1904761904761925E-2</v>
      </c>
      <c r="F6" s="108">
        <f>'Bauvertrag (VOB)'!Q22</f>
        <v>8.099206349206349E-2</v>
      </c>
      <c r="G6" s="108">
        <f>'Bauvertrag (VOB)'!T22</f>
        <v>0.1071031746031746</v>
      </c>
      <c r="H6" s="49">
        <f>AVERAGE(C6:G6)</f>
        <v>8.5579365079365075E-2</v>
      </c>
      <c r="I6" s="110">
        <f>'Bauvertrag (VOB)'!X22</f>
        <v>1663200</v>
      </c>
      <c r="J6" s="111">
        <f>IFERROR('Bauvertrag (VOB)'!Y22,0)</f>
        <v>1.3860000000000001E-2</v>
      </c>
    </row>
    <row r="7" spans="2:10" ht="27.75" customHeight="1" x14ac:dyDescent="0.2">
      <c r="B7" s="50" t="s">
        <v>177</v>
      </c>
      <c r="C7" s="109">
        <f>'Planervertrag (VgV-HOAI)'!H19</f>
        <v>8.559090909090912E-2</v>
      </c>
      <c r="D7" s="109">
        <f>'Planervertrag (VgV-HOAI)'!K19</f>
        <v>5.4909090909090914E-2</v>
      </c>
      <c r="E7" s="109">
        <f>'Planervertrag (VgV-HOAI)'!N19</f>
        <v>8.8500000000000009E-2</v>
      </c>
      <c r="F7" s="109">
        <f>'Planervertrag (VgV-HOAI)'!Q19</f>
        <v>9.8045454545454561E-2</v>
      </c>
      <c r="G7" s="109">
        <f>'Planervertrag (VgV-HOAI)'!T19</f>
        <v>6.5681818181818188E-2</v>
      </c>
      <c r="H7" s="49">
        <f>AVERAGE(C7:G7)</f>
        <v>7.8545454545454557E-2</v>
      </c>
      <c r="I7" s="110">
        <f>'Planervertrag (VgV-HOAI)'!X19</f>
        <v>1144800</v>
      </c>
      <c r="J7" s="111">
        <f>IFERROR('Planervertrag (VgV-HOAI)'!Y19,0)</f>
        <v>9.5399999999999999E-3</v>
      </c>
    </row>
    <row r="8" spans="2:10" ht="33.75" customHeight="1" x14ac:dyDescent="0.2">
      <c r="B8" s="51" t="s">
        <v>178</v>
      </c>
      <c r="C8" s="52">
        <f t="shared" ref="C8:H8" si="0">AVERAGE(C6:C7)</f>
        <v>9.5950216450216466E-2</v>
      </c>
      <c r="D8" s="52">
        <f t="shared" si="0"/>
        <v>5.3248196248196253E-2</v>
      </c>
      <c r="E8" s="52">
        <f t="shared" si="0"/>
        <v>8.5202380952380974E-2</v>
      </c>
      <c r="F8" s="52">
        <f t="shared" si="0"/>
        <v>8.9518759018759025E-2</v>
      </c>
      <c r="G8" s="52">
        <f t="shared" si="0"/>
        <v>8.6392496392496396E-2</v>
      </c>
      <c r="H8" s="53">
        <f t="shared" si="0"/>
        <v>8.2062409812409809E-2</v>
      </c>
      <c r="I8" s="54">
        <f>I6+I7</f>
        <v>2808000</v>
      </c>
      <c r="J8" s="55">
        <f>IFERROR(I8/Bausumme,0)</f>
        <v>2.3400000000000001E-2</v>
      </c>
    </row>
    <row r="9" spans="2:10" ht="7.5" customHeight="1" x14ac:dyDescent="0.2"/>
    <row r="10" spans="2:10" ht="27.75" customHeight="1" x14ac:dyDescent="0.2">
      <c r="B10" s="79" t="s">
        <v>179</v>
      </c>
      <c r="C10" s="79"/>
      <c r="D10" s="56" t="s">
        <v>180</v>
      </c>
      <c r="E10" s="57">
        <f>AVERAGE(D6:D7)</f>
        <v>5.3248196248196253E-2</v>
      </c>
      <c r="F10" s="56" t="s">
        <v>181</v>
      </c>
      <c r="G10" s="80">
        <f>E10*Bausumme</f>
        <v>6389783.5497835502</v>
      </c>
      <c r="H10" s="80"/>
      <c r="I10" s="56" t="s">
        <v>182</v>
      </c>
      <c r="J10" s="58">
        <f>I8</f>
        <v>2808000</v>
      </c>
    </row>
    <row r="11" spans="2:10" ht="7.5" customHeight="1" x14ac:dyDescent="0.2"/>
    <row r="30" spans="2:10" ht="21.75" customHeight="1" x14ac:dyDescent="0.2">
      <c r="B30" s="81" t="s">
        <v>183</v>
      </c>
      <c r="C30" s="81"/>
      <c r="D30" s="81"/>
      <c r="E30" s="81"/>
      <c r="F30" s="81"/>
      <c r="G30" s="81"/>
      <c r="H30" s="81"/>
      <c r="I30" s="81"/>
      <c r="J30" s="81"/>
    </row>
    <row r="31" spans="2:10" ht="21.75" customHeight="1" x14ac:dyDescent="0.2">
      <c r="B31" s="59" t="s">
        <v>184</v>
      </c>
      <c r="C31" s="82" t="s">
        <v>185</v>
      </c>
      <c r="D31" s="82"/>
      <c r="E31" s="82"/>
      <c r="F31" s="82"/>
      <c r="G31" s="82"/>
      <c r="H31" s="82"/>
      <c r="I31" s="82"/>
      <c r="J31" s="82"/>
    </row>
    <row r="32" spans="2:10" ht="21.75" customHeight="1" x14ac:dyDescent="0.2">
      <c r="B32" s="60" t="s">
        <v>186</v>
      </c>
      <c r="C32" s="83" t="s">
        <v>187</v>
      </c>
      <c r="D32" s="83"/>
      <c r="E32" s="83"/>
      <c r="F32" s="83"/>
      <c r="G32" s="83"/>
      <c r="H32" s="83"/>
      <c r="I32" s="83"/>
      <c r="J32" s="83"/>
    </row>
    <row r="33" spans="2:10" ht="21.75" customHeight="1" x14ac:dyDescent="0.2">
      <c r="B33" s="61" t="s">
        <v>188</v>
      </c>
      <c r="C33" s="84" t="s">
        <v>189</v>
      </c>
      <c r="D33" s="84"/>
      <c r="E33" s="84"/>
      <c r="F33" s="84"/>
      <c r="G33" s="84"/>
      <c r="H33" s="84"/>
      <c r="I33" s="84"/>
      <c r="J33" s="84"/>
    </row>
    <row r="34" spans="2:10" ht="21.75" customHeight="1" x14ac:dyDescent="0.2">
      <c r="B34" s="62" t="s">
        <v>190</v>
      </c>
      <c r="C34" s="85" t="s">
        <v>191</v>
      </c>
      <c r="D34" s="85"/>
      <c r="E34" s="85"/>
      <c r="F34" s="85"/>
      <c r="G34" s="85"/>
      <c r="H34" s="85"/>
      <c r="I34" s="85"/>
      <c r="J34" s="85"/>
    </row>
    <row r="35" spans="2:10" ht="21.75" customHeight="1" x14ac:dyDescent="0.2">
      <c r="B35" s="63" t="s">
        <v>192</v>
      </c>
      <c r="C35" s="86" t="s">
        <v>193</v>
      </c>
      <c r="D35" s="86"/>
      <c r="E35" s="86"/>
      <c r="F35" s="86"/>
      <c r="G35" s="86"/>
      <c r="H35" s="86"/>
      <c r="I35" s="86"/>
      <c r="J35" s="86"/>
    </row>
  </sheetData>
  <mergeCells count="12">
    <mergeCell ref="C35:J35"/>
    <mergeCell ref="B30:J30"/>
    <mergeCell ref="C31:J31"/>
    <mergeCell ref="C32:J32"/>
    <mergeCell ref="C33:J33"/>
    <mergeCell ref="C34:J34"/>
    <mergeCell ref="B2:J2"/>
    <mergeCell ref="B3:D3"/>
    <mergeCell ref="E3:F3"/>
    <mergeCell ref="G3:J3"/>
    <mergeCell ref="B10:C10"/>
    <mergeCell ref="G10:H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" customWidth="1"/>
    <col min="2" max="2" width="44" customWidth="1"/>
    <col min="3" max="3" width="52" customWidth="1"/>
    <col min="4" max="4" width="20" customWidth="1"/>
    <col min="5" max="5" width="22" customWidth="1"/>
  </cols>
  <sheetData>
    <row r="1" spans="2:5" ht="7.5" customHeight="1" x14ac:dyDescent="0.2"/>
    <row r="2" spans="2:5" ht="34.5" customHeight="1" x14ac:dyDescent="0.2">
      <c r="B2" s="87" t="s">
        <v>194</v>
      </c>
      <c r="C2" s="87"/>
      <c r="D2" s="87"/>
      <c r="E2" s="87"/>
    </row>
    <row r="3" spans="2:5" ht="39.75" customHeight="1" x14ac:dyDescent="0.2">
      <c r="B3" s="88" t="s">
        <v>195</v>
      </c>
      <c r="C3" s="88"/>
      <c r="D3" s="88"/>
      <c r="E3" s="88"/>
    </row>
    <row r="4" spans="2:5" ht="9.75" customHeight="1" x14ac:dyDescent="0.2"/>
    <row r="5" spans="2:5" ht="24" customHeight="1" x14ac:dyDescent="0.2">
      <c r="B5" s="44" t="s">
        <v>196</v>
      </c>
      <c r="C5" s="44" t="s">
        <v>197</v>
      </c>
      <c r="D5" s="44" t="s">
        <v>198</v>
      </c>
      <c r="E5" s="44" t="s">
        <v>199</v>
      </c>
    </row>
    <row r="6" spans="2:5" ht="42" customHeight="1" x14ac:dyDescent="0.2">
      <c r="B6" s="37" t="s">
        <v>200</v>
      </c>
      <c r="C6" s="64" t="s">
        <v>201</v>
      </c>
      <c r="D6" s="65" t="s">
        <v>202</v>
      </c>
      <c r="E6" s="66" t="s">
        <v>203</v>
      </c>
    </row>
    <row r="7" spans="2:5" ht="42" customHeight="1" x14ac:dyDescent="0.2">
      <c r="B7" s="26" t="s">
        <v>204</v>
      </c>
      <c r="C7" s="67" t="s">
        <v>205</v>
      </c>
      <c r="D7" s="68" t="s">
        <v>206</v>
      </c>
      <c r="E7" s="69" t="s">
        <v>207</v>
      </c>
    </row>
    <row r="8" spans="2:5" ht="42" customHeight="1" x14ac:dyDescent="0.2">
      <c r="B8" s="37" t="s">
        <v>208</v>
      </c>
      <c r="C8" s="64" t="s">
        <v>209</v>
      </c>
      <c r="D8" s="65" t="s">
        <v>210</v>
      </c>
      <c r="E8" s="66" t="s">
        <v>211</v>
      </c>
    </row>
    <row r="9" spans="2:5" ht="42" customHeight="1" x14ac:dyDescent="0.2">
      <c r="B9" s="26" t="s">
        <v>212</v>
      </c>
      <c r="C9" s="67" t="s">
        <v>213</v>
      </c>
      <c r="D9" s="68" t="s">
        <v>214</v>
      </c>
      <c r="E9" s="69" t="s">
        <v>215</v>
      </c>
    </row>
    <row r="10" spans="2:5" ht="42" customHeight="1" x14ac:dyDescent="0.2">
      <c r="B10" s="37" t="s">
        <v>216</v>
      </c>
      <c r="C10" s="64" t="s">
        <v>217</v>
      </c>
      <c r="D10" s="65" t="s">
        <v>202</v>
      </c>
      <c r="E10" s="66" t="s">
        <v>218</v>
      </c>
    </row>
    <row r="11" spans="2:5" ht="42" customHeight="1" x14ac:dyDescent="0.2">
      <c r="B11" s="26" t="s">
        <v>219</v>
      </c>
      <c r="C11" s="67" t="s">
        <v>220</v>
      </c>
      <c r="D11" s="68" t="s">
        <v>221</v>
      </c>
      <c r="E11" s="69" t="s">
        <v>222</v>
      </c>
    </row>
    <row r="12" spans="2:5" ht="42" customHeight="1" x14ac:dyDescent="0.2">
      <c r="B12" s="37" t="s">
        <v>223</v>
      </c>
      <c r="C12" s="64" t="s">
        <v>224</v>
      </c>
      <c r="D12" s="65" t="s">
        <v>225</v>
      </c>
      <c r="E12" s="66" t="s">
        <v>226</v>
      </c>
    </row>
    <row r="13" spans="2:5" ht="42" customHeight="1" x14ac:dyDescent="0.2">
      <c r="B13" s="26" t="s">
        <v>227</v>
      </c>
      <c r="C13" s="67" t="s">
        <v>228</v>
      </c>
      <c r="D13" s="68" t="s">
        <v>202</v>
      </c>
      <c r="E13" s="69" t="s">
        <v>229</v>
      </c>
    </row>
    <row r="14" spans="2:5" ht="42" customHeight="1" x14ac:dyDescent="0.2">
      <c r="B14" s="37" t="s">
        <v>230</v>
      </c>
      <c r="C14" s="64" t="s">
        <v>231</v>
      </c>
      <c r="D14" s="65" t="s">
        <v>232</v>
      </c>
      <c r="E14" s="66" t="s">
        <v>233</v>
      </c>
    </row>
    <row r="15" spans="2:5" ht="42" customHeight="1" x14ac:dyDescent="0.2">
      <c r="B15" s="26" t="s">
        <v>234</v>
      </c>
      <c r="C15" s="67" t="s">
        <v>235</v>
      </c>
      <c r="D15" s="68" t="s">
        <v>236</v>
      </c>
      <c r="E15" s="69" t="s">
        <v>237</v>
      </c>
    </row>
    <row r="16" spans="2:5" ht="42" customHeight="1" x14ac:dyDescent="0.2">
      <c r="B16" s="37" t="s">
        <v>238</v>
      </c>
      <c r="C16" s="64" t="s">
        <v>239</v>
      </c>
      <c r="D16" s="65" t="s">
        <v>240</v>
      </c>
      <c r="E16" s="66" t="s">
        <v>241</v>
      </c>
    </row>
    <row r="17" spans="1:5" ht="42" customHeight="1" x14ac:dyDescent="0.2">
      <c r="B17" s="89" t="s">
        <v>242</v>
      </c>
      <c r="C17" s="90" t="s">
        <v>243</v>
      </c>
      <c r="D17" s="91" t="s">
        <v>244</v>
      </c>
      <c r="E17" s="93" t="s">
        <v>245</v>
      </c>
    </row>
    <row r="18" spans="1:5" ht="26" x14ac:dyDescent="0.2">
      <c r="A18" s="114"/>
      <c r="B18" s="115" t="s">
        <v>246</v>
      </c>
      <c r="C18" s="97" t="s">
        <v>247</v>
      </c>
      <c r="D18" s="100" t="s">
        <v>248</v>
      </c>
      <c r="E18" s="92" t="s">
        <v>218</v>
      </c>
    </row>
    <row r="19" spans="1:5" x14ac:dyDescent="0.2">
      <c r="A19" s="114"/>
      <c r="B19" s="94" t="s">
        <v>249</v>
      </c>
      <c r="C19" s="96" t="s">
        <v>250</v>
      </c>
      <c r="D19" s="99" t="s">
        <v>251</v>
      </c>
      <c r="E19" s="106" t="s">
        <v>252</v>
      </c>
    </row>
    <row r="20" spans="1:5" x14ac:dyDescent="0.2">
      <c r="A20" s="114"/>
      <c r="B20" s="103" t="s">
        <v>253</v>
      </c>
      <c r="C20" s="104" t="s">
        <v>254</v>
      </c>
      <c r="D20" s="105" t="s">
        <v>255</v>
      </c>
      <c r="E20" s="107" t="s">
        <v>256</v>
      </c>
    </row>
    <row r="21" spans="1:5" x14ac:dyDescent="0.2">
      <c r="A21" s="114"/>
      <c r="B21" s="94" t="s">
        <v>257</v>
      </c>
      <c r="C21" s="96" t="s">
        <v>258</v>
      </c>
      <c r="D21" s="99" t="s">
        <v>259</v>
      </c>
      <c r="E21" s="106" t="s">
        <v>256</v>
      </c>
    </row>
    <row r="22" spans="1:5" x14ac:dyDescent="0.2">
      <c r="A22" s="114"/>
      <c r="B22" s="103" t="s">
        <v>260</v>
      </c>
      <c r="C22" s="104" t="s">
        <v>261</v>
      </c>
      <c r="D22" s="105" t="s">
        <v>262</v>
      </c>
      <c r="E22" s="107" t="s">
        <v>263</v>
      </c>
    </row>
    <row r="23" spans="1:5" x14ac:dyDescent="0.2">
      <c r="A23" s="114"/>
      <c r="B23" s="94" t="s">
        <v>264</v>
      </c>
      <c r="C23" s="96" t="s">
        <v>265</v>
      </c>
      <c r="D23" s="99" t="s">
        <v>266</v>
      </c>
      <c r="E23" s="106" t="s">
        <v>211</v>
      </c>
    </row>
    <row r="24" spans="1:5" x14ac:dyDescent="0.2">
      <c r="A24" s="114"/>
      <c r="B24" s="103" t="s">
        <v>267</v>
      </c>
      <c r="C24" s="104" t="s">
        <v>268</v>
      </c>
      <c r="D24" s="105" t="s">
        <v>269</v>
      </c>
      <c r="E24" s="107" t="s">
        <v>256</v>
      </c>
    </row>
    <row r="25" spans="1:5" x14ac:dyDescent="0.2">
      <c r="A25" s="114"/>
      <c r="B25" s="94" t="s">
        <v>270</v>
      </c>
      <c r="C25" s="96" t="s">
        <v>271</v>
      </c>
      <c r="D25" s="99" t="s">
        <v>272</v>
      </c>
      <c r="E25" s="106" t="s">
        <v>256</v>
      </c>
    </row>
    <row r="26" spans="1:5" x14ac:dyDescent="0.2">
      <c r="A26" s="114"/>
      <c r="B26" s="103" t="s">
        <v>273</v>
      </c>
      <c r="C26" s="104" t="s">
        <v>274</v>
      </c>
      <c r="D26" s="105" t="s">
        <v>244</v>
      </c>
      <c r="E26" s="107" t="s">
        <v>245</v>
      </c>
    </row>
    <row r="27" spans="1:5" x14ac:dyDescent="0.2">
      <c r="A27" s="114"/>
      <c r="B27" s="95" t="s">
        <v>275</v>
      </c>
      <c r="C27" s="98" t="s">
        <v>276</v>
      </c>
      <c r="D27" s="101" t="s">
        <v>277</v>
      </c>
      <c r="E27" s="102" t="s">
        <v>278</v>
      </c>
    </row>
  </sheetData>
  <mergeCells count="2">
    <mergeCell ref="B2:E2"/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Start</vt:lpstr>
      <vt:lpstr>Bauvertrag (VOB)</vt:lpstr>
      <vt:lpstr>Planervertrag (VgV-HOAI)</vt:lpstr>
      <vt:lpstr>Gesamtbewertung</vt:lpstr>
      <vt:lpstr>Quellennachweis</vt:lpstr>
      <vt:lpstr>Bausumme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Baubüro</cp:lastModifiedBy>
  <cp:revision>2</cp:revision>
  <dcterms:created xsi:type="dcterms:W3CDTF">2026-02-28T12:40:47Z</dcterms:created>
  <dcterms:modified xsi:type="dcterms:W3CDTF">2026-06-16T11:47:35Z</dcterms:modified>
  <dc:language>en-US</dc:language>
</cp:coreProperties>
</file>